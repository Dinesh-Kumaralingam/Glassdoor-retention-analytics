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UCR\Spring 2025\MGT 286B Capstone\Group Project\glassdoor-retention-analytics\data\"/>
    </mc:Choice>
  </mc:AlternateContent>
  <xr:revisionPtr revIDLastSave="0" documentId="8_{43A7ACE8-2DBF-4F74-8297-CD8E03A4D30C}" xr6:coauthVersionLast="47" xr6:coauthVersionMax="47" xr10:uidLastSave="{00000000-0000-0000-0000-000000000000}"/>
  <bookViews>
    <workbookView xWindow="-108" yWindow="-108" windowWidth="23256" windowHeight="12456" xr2:uid="{D39BA424-30F3-4B1A-AADC-15AE0A2FD7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7" i="1" l="1"/>
  <c r="P97" i="1"/>
  <c r="Q63" i="1"/>
  <c r="Q44" i="1"/>
  <c r="P44" i="1"/>
</calcChain>
</file>

<file path=xl/sharedStrings.xml><?xml version="1.0" encoding="utf-8"?>
<sst xmlns="http://schemas.openxmlformats.org/spreadsheetml/2006/main" count="1005" uniqueCount="377">
  <si>
    <t>firm</t>
  </si>
  <si>
    <t>date_review</t>
  </si>
  <si>
    <t>job_title</t>
  </si>
  <si>
    <t>current</t>
  </si>
  <si>
    <t>location</t>
  </si>
  <si>
    <t>overall_rating</t>
  </si>
  <si>
    <t>work_life_balance</t>
  </si>
  <si>
    <t>culture_values</t>
  </si>
  <si>
    <t>career_opp</t>
  </si>
  <si>
    <t>comp_benefits</t>
  </si>
  <si>
    <t>senior_mgmt</t>
  </si>
  <si>
    <t>recommend</t>
  </si>
  <si>
    <t>ceo_approv</t>
  </si>
  <si>
    <t>outlook</t>
  </si>
  <si>
    <t>headline</t>
  </si>
  <si>
    <t>pros</t>
  </si>
  <si>
    <t>cons</t>
  </si>
  <si>
    <t>review_year</t>
  </si>
  <si>
    <t>pros_word_count</t>
  </si>
  <si>
    <t>cons_word_count</t>
  </si>
  <si>
    <t>AFH-Wealth-Management</t>
  </si>
  <si>
    <t>Office Administrator</t>
  </si>
  <si>
    <t>Current Employee, less than 1 year</t>
  </si>
  <si>
    <t>Bromsgrove, England, England</t>
  </si>
  <si>
    <t>No</t>
  </si>
  <si>
    <t>Yes</t>
  </si>
  <si>
    <t>Negative</t>
  </si>
  <si>
    <t>Low salary, bad micromanagement</t>
  </si>
  <si>
    <t>Easy to get the job even without experience in finance</t>
  </si>
  <si>
    <t>Very low salary, poor working conditions, very little training provided but high expectations. Micro management are young, inexperienced and superficial girls who are not able to provide guidance and support for their teams.</t>
  </si>
  <si>
    <t>Current Employee, more than 1 year</t>
  </si>
  <si>
    <t>client reporting admin</t>
  </si>
  <si>
    <t>Easy to get the job, Nice colleagues.</t>
  </si>
  <si>
    <t>Abysmal pay, around minimum wage. No actual training for your job role. No incentive to improve. training. Leaves a bad taste in the mouth when the CEO drives a roll royce and the majority of the workers are payed so lowly</t>
  </si>
  <si>
    <t>Anonymous Employee</t>
  </si>
  <si>
    <t>Current Employee, more than 5 years</t>
  </si>
  <si>
    <t>Century City, CA</t>
  </si>
  <si>
    <t>Neutral</t>
  </si>
  <si>
    <t>Good place to work</t>
  </si>
  <si>
    <t>The people are great and the culture is very forward thinking. Lots of development opportunities and really invest in educating their employees.</t>
  </si>
  <si>
    <t>Wouldn't necessarily say there are any cons to working here, though this website does contain negative reviews. I would say if you are committed and show your loyalty to the company, they will look after you.</t>
  </si>
  <si>
    <t>Former Employee, more than 1 year</t>
  </si>
  <si>
    <t>Unknown</t>
  </si>
  <si>
    <t>I liked working for AFH</t>
  </si>
  <si>
    <t>Nice Staff, good HR Team. Feels vibrant and forward thinking.  Flexible hours (worked for me).  Good place to start your career.</t>
  </si>
  <si>
    <t>Can't really think of any obvious cons</t>
  </si>
  <si>
    <t>Technician</t>
  </si>
  <si>
    <t>Former Employee, more than 3 years</t>
  </si>
  <si>
    <t>Santa Ana, CA</t>
  </si>
  <si>
    <t>Honest Review</t>
  </si>
  <si>
    <t>Made some life time friends.</t>
  </si>
  <si>
    <t>Was let go from the company just before Christmas. Advised the role was not cost effective after having to deal with the worst management in my 20 year career.</t>
  </si>
  <si>
    <t>Administrative Support</t>
  </si>
  <si>
    <t>San Juan Capistrano, CA</t>
  </si>
  <si>
    <t>Avoid at all cost</t>
  </si>
  <si>
    <t>I can't think of any obvious ones, although I'm not unemployed. Overrated at 1 star.</t>
  </si>
  <si>
    <t>Disgustingly low wages. Staff are not valued. HR are unhelpful. No positive feel to the place whatsoever.</t>
  </si>
  <si>
    <t>Orange, CA</t>
  </si>
  <si>
    <t>Worst place I have ever worked</t>
  </si>
  <si>
    <t>Can do compressed hours if you qualify for them, this helps with child care.  There is free parking which helps.</t>
  </si>
  <si>
    <t>Unsupportive HR team, worst I have ever come across. Would not trust them with confidential matters at all.  Management are useless, only look after people in their "clicks".  Everyone is treated differently which courses friction amongst teams.  Pay is not very good for the amount of work the firm expect you to complete.  High turnover of staff - never known anything like it!</t>
  </si>
  <si>
    <t>Quality Control Administrator</t>
  </si>
  <si>
    <t>Good Place To Work</t>
  </si>
  <si>
    <t>Everyone is friendly and there is always a brilliant atmosphere in the office. There are progression opportunities which is always a bonus and the company really look after you.</t>
  </si>
  <si>
    <t>No cons as such.</t>
  </si>
  <si>
    <t>Former Employee, more than 5 years</t>
  </si>
  <si>
    <t>Birmingham, England, England</t>
  </si>
  <si>
    <t>Administration team</t>
  </si>
  <si>
    <t>Free parking . Meet some nice people in the teams . Flexible hours . Benefits sickness death in service bonus if you employed for over 1 year .</t>
  </si>
  <si>
    <t>Not treated at all well after 6 yrs of being a loyal hard working member of staff . This company just pushes you out and replaces you with someone who they think is right or someone who just agrees !  It's called constructive dismissal , note to self should of took this to court !  Not sure who owns the company as the CEO seems to let the operations manager run the place ! Which nobody has respects for !  HR do not trust at all they there to help employees but all they do is protect the company !  To much work , stressful , salary low , lack of experienced staff in admin !  I would not recommend AFH to anyone Employee of choice they call it funny it's definitely not !</t>
  </si>
  <si>
    <t>Administrative</t>
  </si>
  <si>
    <t>Current Employee, more than 3 years</t>
  </si>
  <si>
    <t>Positive</t>
  </si>
  <si>
    <t>A caring and adaptable employer</t>
  </si>
  <si>
    <t>I find AFH to be a caring employer, that is both adaptable to  employees' needs and prepared to listen to opinions.   Since I've worked at AFH there have been many progressive changes for the workforce in the way of employee benefits (for example, these include a savings scheme, discounted gym membership, annual company events and after-hours classes such as French and Pilates).   The office itself is a great working environment, with a friendly and open staff who make newcomers welcome.   There is ample free &amp; secure staff parking available and the train/bus route is convenient. Staff inductions are always carried out and training needs are regularly monitored.   Progression through the company is encouraged and it's possible to change career paths internally if opportunities arise.</t>
  </si>
  <si>
    <t>I am unable to find any Cons for AFH Wealth Management.  This is a great company to work for.</t>
  </si>
  <si>
    <t>Current Employee</t>
  </si>
  <si>
    <t>Best place to work!</t>
  </si>
  <si>
    <t>AFH feels like family. I left AFH last year for what i thought was a better career opportunity, but since realised that the grass isn't always greener on the other side. The culture of AFH is the reason I returned and I can definitely say it feels good to be back!</t>
  </si>
  <si>
    <t>Unable to list any cons.</t>
  </si>
  <si>
    <t>Great place to work with a nice team of people. If you want to progress the opportunities are there for you.</t>
  </si>
  <si>
    <t>AFH is a progressive company who invest in their people and supports career development. Job security is a big selling point along with the continuous growth. The staff benefits are beginning to improve from offering compressed working hours to pilates classes, share options to Christmas bonus.</t>
  </si>
  <si>
    <t>As the company has grown so quickly there are some issues yet things are happening to solve these. It can be frustrating that it takes so long to address them the right people need to be asked for input.</t>
  </si>
  <si>
    <t>Positive Experience</t>
  </si>
  <si>
    <t>Lots of support and training given Very friendly and positive atmosphere</t>
  </si>
  <si>
    <t>Hard to keep track of everyone due to the size of the company.</t>
  </si>
  <si>
    <t>Great place to work</t>
  </si>
  <si>
    <t>- I was made to feel very welcome when I first started and I was never made to feel like I was a 'burden' or an 'inconvenience' to train. I work in admin and although I have 8 years previous experience working within an admin based role prior to starting work at AFH, I had never worked within the finance industry - so there has been a lot to learn, but I have enjoyed learning something new every day! - Management enable new recruits to learn at their own pace and facilitate their own style of learning when training up new people for their role. AFH provide ongoing product knowledge refresher training, So, if something doesn't 'click' the first time around, you may well understand it much better after having some hands on experience in your new role &amp; sitting in the refresher training session again. - Knowing that through my work I'm able to assist other people, whether that's clients, co-workers, the advisers, supervisors or management; providing information needed and answering questions - to me that is the one of the biggest pros, job satisfaction. - Knowing that management trust me to use my own initiative to create &amp; implement new strategies whilst working on large projects. - There are great possibilities of advancing your career and moving within the business. - Management acknowledging your efforts and going out of their way to thank you when you have worked hard. - Treated with respect and kindness &amp; feel valued as an employee.  - Fast-paced environment, never a dull moment and the time at work flies by! - Great benefits package. - Supportive and friendly co-workers. - Lovely office building to work in. - The list of pros could go on &amp; on... but I'd be here all day. I love my job and the company.</t>
  </si>
  <si>
    <t>- Occasionally (as there is in all jobs) there are challenges or situations that can be a little stressful; however, on saying that, the camaraderie within the teams really is great, we all endeavour to help each other through challenging times and work as a team to get the job done.</t>
  </si>
  <si>
    <t>AFH is a great company to work for. The training courses available are brilliant, from Excel training to product knowledge, all courses are available to all staff. Everyone is pleasant and welcoming. The CEO always acknowledges you when he sees you, as do all management. We have annual staff events (summer events and christmas parties) which are a great way to mingle with staff from other levels of the office. There are a number of other pros for working for AFH such as: - discount at local gyms - Saving Schemes - family fun day bbqs - great atmosphere working the office - annual bonus - secure parking - payrise based on performance.. ...The list could go on!! Regularly throughout the year, the CEO and head of HR meet with a representative from each team in the Employee forum. They listen to ideas and ways to improve things from staff across the company.  We have an intranet which keeps us updated on the goings on from across the business. The CEO also carries out presentations to inform us of how we are performing and again a chance to ask any questions we may have. All in all I really enjoy working for AFH!</t>
  </si>
  <si>
    <t>I cannot think of any cons for working for AFH.</t>
  </si>
  <si>
    <t>Former Employee</t>
  </si>
  <si>
    <t>Great team to work in</t>
  </si>
  <si>
    <t>Management don't listen to their employees, saw many talented people come and go who were not acknowledged or appreciated. Some practices bordering on unethical.</t>
  </si>
  <si>
    <t>Such a GREAT place to work</t>
  </si>
  <si>
    <t>I worked at AFH for 4 years and cannot fault them. Everyone is so friendly, especially the CEO! AFH is great for career progression with lots of internal opportunities available. During my time, I worked in 3 different departments with an increased salary in each.  I would totally recommend this company to work at.</t>
  </si>
  <si>
    <t>ant think of any cons for working at AFH.</t>
  </si>
  <si>
    <t>Manager</t>
  </si>
  <si>
    <t>Current Employee, more than 8 years</t>
  </si>
  <si>
    <t>Newmarket, England, England</t>
  </si>
  <si>
    <t>If you can work here</t>
  </si>
  <si>
    <t>A great place to work with a really caring and great employer</t>
  </si>
  <si>
    <t>Sometimes you have to wash up your own cup !!</t>
  </si>
  <si>
    <t>Administration</t>
  </si>
  <si>
    <t>Really nice community, lots of benefits for employees.</t>
  </si>
  <si>
    <t>nothing that i can think of- i love working here</t>
  </si>
  <si>
    <t>Could be so much better</t>
  </si>
  <si>
    <t>Lots of talented and friendly people. Real opportunity for this to be a good company.</t>
  </si>
  <si>
    <t>The talented and friendly people are woefully managed. The management are self-centered and short sighted. Mostly interested in protecting their own jobs. When many of the staff are paid at minimum wage having the MD turn up in a Rolls Royce doesn't help</t>
  </si>
  <si>
    <t>Employer of choice</t>
  </si>
  <si>
    <t>Top CEO with a vision and desire to make things happen..</t>
  </si>
  <si>
    <t>There are none... it's what you make it.</t>
  </si>
  <si>
    <t>Very professional manner and lots of opportunity for ambitious people to excel.</t>
  </si>
  <si>
    <t>There are none to point out</t>
  </si>
  <si>
    <t>In the process of trying to provide the best service for clients they have forgotten about their staff</t>
  </si>
  <si>
    <t>The compressed hours structure works well where you get a day off in the week. The staff within each department are lovely and you can make some great friends for life here.</t>
  </si>
  <si>
    <t>I genuinely believe AFH have a good offering for clients and try to put their best interests at the heart of the business decisions however in doing so they have completely forgotten about the staff who are the people that provide that back office service to clients. If your staff are happy, feel well cared for, listened to and fairly remunerated for what they do then they will respect the company and want to deliver a service to the best of their ability. If you donâ€™t do these things, which unfortunately is the case at AFH, the reverse is true. They focus too much on â€˜cheap labourâ€™ and harbour an atmosphere of â€˜us and themâ€™ between senior management and staff. I genuinely believe the CEO wants to do right by the staff but he is surrounded by yes people who shelter him from whatâ€™s really happening on the office floor. They donâ€™t look after their own, people who have been loyal to the company for many years, other than those who have made it to a seat at the board table. When it comes to promotions, they prefer to recruit externally rather than those with experience who have worked their way through the ranks which is often a cause of frustration for staff who keep being promised their next promotion is just around the corner. HR is a shambles and you wouldnâ€™t want to tell them anything remotely confidential otherwise itâ€™s round the office as gossip in no time at all. They certainly donâ€™t want people who will challenge the order of things or suggest a new way of thinking. It is a shame as I think the company has a lot of potential but unfortunately, despite beating you over the head about being â€˜the employer of choiceâ€™, right now they are anything but. The company is growing rapidly but unless they do something soon about the multitude of unhappy staff (I interacted with all the departments in the business and almost every single person felt the same way), the entire back office support system will collapse and they wonâ€™t have any long term, knowledgeable or experienced staff to hold the business up.</t>
  </si>
  <si>
    <t>Supremacy</t>
  </si>
  <si>
    <t>Great place to have a career. I joined fresh out of university nearly 7 years ago. The company has been on an amazing growth journey, certainly since then which it has been a privilidge to be a part of. The below is a list of the benefits to me personally, and is not exhaustive. -Scope for career progression to those that demonstrate the hunger and the skills required. It must be noted that you need to be realistic with your ambitions and a career is a career and not an overnight process. AFH reward loyalty, and if you demonstate the right abilities and attributes for more senior positions, combined with becoming an experienced team member and obtaining any examinations (if required), you will find yourself climbing up the career progression scale and experience the benefits that come with that increased responsibility.  -Full financial support for relevant examinations which are approved by your line manager. I have had many exams and material paid for over the years which has supported me a lot and has always been fully appreciated.  -The staff. Amazing, friendly people throughout the business and many friends for life who I have met through working there both past and present workers. This makes a working day so much better when you have good people around you. -Package aside from salary includes pension, a reasonable amount of healthcare (primarily dental and optical) and an annual bonus. There have been sweeteners in the past e.g. share options which for a growing company can be extremely lucrative. There is also a really attractive tiered loyalty bonus scheme which if in it for the long haul can be very welcoming.  -Social aspect is really good. Christmas party, summer ball, summer BBQ, and annual charity football match to name a few. -AFH sponsor a charity each year and there are many interesting events throughout the year which staff are invited to join in on from conquering Snowdon, running in Birmingham 10k, skydives, pub quiz or just good old bake offs. -Compressed working pattern offered to certain workers (not all). A benefit I consume and itâ€™s something that is not easy to put a price on. A working week compressed into 4 days allowing for the same rate of pay, but 3 days off in a working week instead of 2. Something I put a high value on personally.</t>
  </si>
  <si>
    <t>I genuinely have no cons to working here. You get out what you put in. Over time, if you demonstate the right attributes, skills, attitude and work ethic this will be rewarded.</t>
  </si>
  <si>
    <t>Great Company, Shocking Salary</t>
  </si>
  <si>
    <t>The company is very large so there is room for career progression. There is also great benefits and flexi hours.</t>
  </si>
  <si>
    <t>The salary is terrible, even when progressing into another role with more responsibility the salary still is not good.</t>
  </si>
  <si>
    <t>Protection Consultant</t>
  </si>
  <si>
    <t>Former Employee, less than 1 year</t>
  </si>
  <si>
    <t>Nottingham, England, England</t>
  </si>
  <si>
    <t>COWBOYS AVOID</t>
  </si>
  <si>
    <t>hours ok colleagues and line managers are really nice</t>
  </si>
  <si>
    <t>i worked at their AFH Insure division, give you leads that are impossible to work. Training pretty much none existent. Desk managers cant help as they are expected to generate their own sales and struggle to help their team to improve the overall desk revenue. Cold calling the same people over and over again even when told not to ring back.  I spent last week ring people over 70 if they want life insurance,  or reviewing old policies.  Cancel your current policy and then take out one with less cover for more money.</t>
  </si>
  <si>
    <t>Good place</t>
  </si>
  <si>
    <t>Friendly people, almost like a family!</t>
  </si>
  <si>
    <t>Progression is hard, almost feels like the supervisors/managers donâ€™t want progression sometimes.  Pay is too low</t>
  </si>
  <si>
    <t>T&amp;C Supervisor</t>
  </si>
  <si>
    <t>Forward thinking company with very supportive senior management</t>
  </si>
  <si>
    <t>I joined AFH in December 2017 and have found them to be a truly great company to work for. On week one meetings were arranged for me with all the Senior Managers from the various departments so I could understand the different parts of the business.  There is a good positive atmosphere at AFH and you are actively encouraged to talk openly about any issues including with the CEO. The benefits package is good but just as important, you are made to feel valued and recognised for a job well done. I work with many teams across AFH and find them to be helpful and generous with their time.  Good work / life balance is also very much in evidence.</t>
  </si>
  <si>
    <t>No cons to speak of</t>
  </si>
  <si>
    <t>Financial Advisor</t>
  </si>
  <si>
    <t>Fabulous company with fabulous people and great values</t>
  </si>
  <si>
    <t>I jumped from a bankassurance world into the world of IFA and was very careful about selecting AFH as I interviewed with plenty of companies before choosing this one.  Everything they told me about themselves was true, as I found out later, and they put their money where their mouth is when they say they put clients first, which is incredibly refreshing after working for banks who say one thing and do another. Everyone is happy to help and support you where they can, and I am left to do my own thing successfully and build my own business without micromanagement, which for me is crucial!  AFH look after their staff well,  and it's a pleasure to work for a company who you feel are working in the right way for their staff, themselves and their clients.</t>
  </si>
  <si>
    <t>Nothing worth mentioning at all.</t>
  </si>
  <si>
    <t>Compliance</t>
  </si>
  <si>
    <t>Friendly staff, knowledgable individuals, good training and support</t>
  </si>
  <si>
    <t>Progression can be slow in some departments</t>
  </si>
  <si>
    <t>IFA Administrator</t>
  </si>
  <si>
    <t>Former employee review</t>
  </si>
  <si>
    <t>Friendly team Good benefits and pension</t>
  </si>
  <si>
    <t>No progression  None sorry</t>
  </si>
  <si>
    <t>Excellent employer</t>
  </si>
  <si>
    <t>AFH really does pride itself on looking after it's clients and this is evident in the way it supports staff to progress with qualifications. Individuals who work for AFH get the opportunity to develop and progress if they put the work in.  Lovely office and very friendly staff.</t>
  </si>
  <si>
    <t>None I can think of.</t>
  </si>
  <si>
    <t>Change</t>
  </si>
  <si>
    <t>If you have any morals avoid this terrible employer</t>
  </si>
  <si>
    <t>The multiple Xmas &amp; Summer events which the CEO's PAs spend their whole time organising.</t>
  </si>
  <si>
    <t>Too many to list unfortunately. IMO and based on my experiences there: Unless this is your first job where you get some workplace experience, don't apply.  Extremely unethical practices Senior Leadership Team are mostly internally promoted therefore leave very little to be desired in terms of how to actually run a business. Toxic culture SLT like to talk about innovation or change but have no idea how to implement or probably even want to HR team are also incompetent and I personally was privy to numerous unethical practices when recruiting.</t>
  </si>
  <si>
    <t>The most demoralising job I have ever had.</t>
  </si>
  <si>
    <t>Staff events throughout the year.</t>
  </si>
  <si>
    <t>One particular department lets the whole company down. HR are absolutely useless. Grievances and exit interview complaints are completely ignored. If you value your self esteem then I would look elsewhere.</t>
  </si>
  <si>
    <t>Administrator</t>
  </si>
  <si>
    <t>Great Place to Work!</t>
  </si>
  <si>
    <t>Approachable staff Client focused Staff Benefits are increasing Great way to get your foot in the door Progression and movement is encouraged</t>
  </si>
  <si>
    <t>Salary for administration staff needs to be looked into. (Extra Â£2-4k a year to match other companies will improve statistics)</t>
  </si>
  <si>
    <t>Great to work at</t>
  </si>
  <si>
    <t>Friendly people, genuine attempts to engage and upskill staff, excellent progression opportunities if you're prepared to work for it</t>
  </si>
  <si>
    <t>Tiny bit old fashioned in certain ways I.e. dress code, old style sales techniques etc</t>
  </si>
  <si>
    <t>Member Of Technical Staff</t>
  </si>
  <si>
    <t>Self centred business with poor focus on genuinely developing  staff morale or giving proper service to customers.</t>
  </si>
  <si>
    <t>Some genuinely nice people do work here with some passion for their job.</t>
  </si>
  <si>
    <t>Too many 'vanity projects' and self promoting agendas run by various individuals and departments, none of which build pride in employees to work here nor genuinely improve relationships with  customers.</t>
  </si>
  <si>
    <t>Back Office Support</t>
  </si>
  <si>
    <t>A mixed bag, but on balance more negative than positive</t>
  </si>
  <si>
    <t>A growing and profitable company. Flexible hours, compressed hours and part time working are all potentially available. Ability to buy and sell holidays. Reasonably diverse mix of employees at lower levels. Reasonable office facilities and friendly staff.</t>
  </si>
  <si>
    <t>Autocratic, very much a â€œmy way or the highwayâ€ organisation. Quality control an issue, with an emphasis on volume rather than quality. Largely ineffective middle management. Training and upskilling are low priorities. Some job insecurity, the company can be quite ruthless when managing out people.</t>
  </si>
  <si>
    <t>Avoid</t>
  </si>
  <si>
    <t>Working hours  Some of the people you work with My actual boss (not supervisor) was supportive and did try to make me feel more comfortable.</t>
  </si>
  <si>
    <t>Supervisor made me very uneasy from the start never introduced me to the rest of the team, not a people person and wasnâ€™t approachable. was not supportive and expects you to know exactly what youâ€™re doing even if you have never been in that sector before.</t>
  </si>
  <si>
    <t>The people both make and destroy this place</t>
  </si>
  <si>
    <t>Great people in some places, excellent Christmas/Summer parties</t>
  </si>
  <si>
    <t>Poor pay, huge gap for pay between senior management vs those who support them, managers who bully yet you are the one driven away, lack of flexibility</t>
  </si>
  <si>
    <t>Quality Control</t>
  </si>
  <si>
    <t>Very low salaries</t>
  </si>
  <si>
    <t>Majority of the people there are lovely, and thatâ€™s about the only pro</t>
  </si>
  <si>
    <t>Salaries are much lower than market competitors and there is no standard salary ladder, they just pay each individual person whatever they can get away with. Most of management is shocking and know nothing about how the company/processes work - or how to manage a team, young girls just go for the promotion for the higher pay but are not capable of doing any management role There is no progression at all</t>
  </si>
  <si>
    <t>Good</t>
  </si>
  <si>
    <t>Nice environment, love people, not too stressful</t>
  </si>
  <si>
    <t>Management can be clicky at times</t>
  </si>
  <si>
    <t>Investment Operations</t>
  </si>
  <si>
    <t>AFH Review</t>
  </si>
  <si>
    <t>Close knit</t>
  </si>
  <si>
    <t>Friendly, engaged, all staff members can be close to CEO with a 'family' environment</t>
  </si>
  <si>
    <t>Views itself as a boutique, not able to break out of a mould</t>
  </si>
  <si>
    <t>Good company</t>
  </si>
  <si>
    <t>Transition from office working to home working was seamless. Provided with all equipment with no disruption to workflow. Lots of social events throughout the year to raise money for charity in the local community, recently these have been online and are always a success. Lots of experienced staff in the company to refer to for advice/help</t>
  </si>
  <si>
    <t>Not a very competitive salary, however this will generally be increased based on personal performance.</t>
  </si>
  <si>
    <t>IFA</t>
  </si>
  <si>
    <t>Great company</t>
  </si>
  <si>
    <t>* Great support if you need it * Flexible working approach * No micro managing (Huge one for me!) * Friendly and helpful team * Fantastic earnings potential</t>
  </si>
  <si>
    <t>* Honestly at present I don't think there are any and unless the culture changed completely, I will remain working there long term.</t>
  </si>
  <si>
    <t>Customer Engagement Executive</t>
  </si>
  <si>
    <t>Awful company to work for.</t>
  </si>
  <si>
    <t>Horrible experience working here. Would not recommend.</t>
  </si>
  <si>
    <t>Awful management  Micro management Only care about numbers and money not the happiness of their staff Happy to go against government guidelines and risk the health and safety of staff members to prematurely make staff go into the office even though people were t pleased with it- when I told them I was unhappy with the 6 days notice they terminated my contract with immediate effect for this reason They donâ€™t care about their staff at all and if you raise an concerns or voice your own opinion they will get rid of you with no valid reason and will not follow any procedure.</t>
  </si>
  <si>
    <t>Client Engagement Executive</t>
  </si>
  <si>
    <t>Terrible- avoid like the plague</t>
  </si>
  <si>
    <t>None, they lie about working hours, bonuses, projects and pay</t>
  </si>
  <si>
    <t>-Unachievable bonus unfairly set by manager -bullying -MICROMANAGEMENT  -long hours  -no sympathy to people who travel or have children  -Manager is extremely rude and condescending -High staff turnover  -Mistreatment of staff -False promises -Lied to about job role-it was cold calling  -If you challenge management you are fired without warning or proper procedures -Do not follow covid guidelines -Poor response from hr and manager as a whole  -Insufficient workload but then have the cheek to ask you what you're doing</t>
  </si>
  <si>
    <t>Mortgage and Protection Advisor</t>
  </si>
  <si>
    <t>Taunton, England, England</t>
  </si>
  <si>
    <t>Mortgage Advisor</t>
  </si>
  <si>
    <t>Good company to work for</t>
  </si>
  <si>
    <t>Communication between departments is lacking</t>
  </si>
  <si>
    <t>AJ-Bell</t>
  </si>
  <si>
    <t>Team Leader</t>
  </si>
  <si>
    <t>Manchester, England, England</t>
  </si>
  <si>
    <t>Growing provider</t>
  </si>
  <si>
    <t>The core staff, managers and above, have been there for 10 years or more. It means there is a stable environment to work in. Some recent investment has led to more opportunities in IT and operations.</t>
  </si>
  <si>
    <t>As managers have been there for 10 years or more, the opportunities to move up are few and far between. Like a lot of companies, directors have their favourites who will move up regardless of experience or talent.</t>
  </si>
  <si>
    <t>Average company</t>
  </si>
  <si>
    <t>Good team work Life / work balance</t>
  </si>
  <si>
    <t>No development Lack of leadership Poor low and medium level management Career progression opportunities only for favorite employees</t>
  </si>
  <si>
    <t>Pensions Administrator</t>
  </si>
  <si>
    <t>Pension admin</t>
  </si>
  <si>
    <t>Friendly colleagues. It was a good sociable friendly environment to work in. Everyone genuinely wants to help each other.</t>
  </si>
  <si>
    <t>Salary was very basic. I felt that for the pressure and amount of work, the salary elsewhere is much higher and a lot more competitive.</t>
  </si>
  <si>
    <t>Please Select</t>
  </si>
  <si>
    <t>Biased managers, stepping on others to work their way up the ladder</t>
  </si>
  <si>
    <t>"Foot in the door" as a junior staff member, to gain some experience before moving on elsewhere. SOME genuinely nice people who work hard (without appreciation) and a close social circle.</t>
  </si>
  <si>
    <t>Will only progress if you know the right people. HR department are not worthy of being the "go to" for staff members as they are not trusted and underhand/biased promotions. No flexibility with hours. Hire too many "kids" so they can pay cheap wages - and therefore no-one gets treated like an adult or trusted. If you're not liked by the right people you're bullied out.</t>
  </si>
  <si>
    <t>Tunbridge Wells office - ONLY good for first-jobbers; otherwise avoid</t>
  </si>
  <si>
    <t>Great Experience for 18months - 2 years if straight out of school/university and looking for a career in Financial Services. If you're lucky enough to get a parking spot in town (waiting list) - this is the most valuable benefit on offer (no really - financially the parking space is worth more than the pension). Easy life if you live locally.</t>
  </si>
  <si>
    <t>Pay in the Tunbridge Wells office matches the pay in the Manchester office so is CONSIDERABLY below market. I TRIPLED my salary within a year of leaving. Progression is limited and there is rampant favouritism and cronyism. No Salary bands are provided either so there is severe opaqueness in pay structure, which inevitably leads to huge turnover (over 30% in 2014, I believe) when people do learn of colleague's salaries. The benefits, particularly the pension (3% matched - which by the way will be mandatory for all firms in 2018), are so terrible such that tea-making facilities are listed as a benefit on the employment contract. Ironic how bad the pension is, given that pensions form a large part of business. Other benefits: Death in Service (but only 3x). Town centre car parking, but there is waiting list of around a year. That's it. They do offer to pay for training for the most basic qualification (the IOC), but very inflexible for additional training. They refused to allow me take time off for to do the study course for highly recognised CISI Diploma even though, because they refused to pay for it, I had forked out Â£1500 for it. They insisted time off for study come out of holiday! Massive dislocation between the Tunbridge Wells (TW) and Manchester (HQ) offices. TW office ignored by the head honchos in Manchester as a satellite office, but still didn't have any autonomy (there was no single individual in charge of the 120+ staff at the TW office). Very disjointed management structures. HR were very disinterested and Senior Management are worse. When there were three consecutive years of poor results on the annual Times Best Companies survey - management told the junior staff and team leaders to identify the specific issues causing the disgruntlement, work out some solutions and report their findings to management (to implement, if they felt like it). Senior  Management didn't get involved until all the work had aleady been done! There were also a lot of recurring problems,e.g. Data Protection Breaches that were being reported to the Board on a monthly basis, but the Board rarely, if ever, did anything about them. There was no top-down reinforcement of culture as the Board had no interest in the day-to-day running of what is still quite a small business, nor the staff.</t>
  </si>
  <si>
    <t>Worst company ever, do not work for them</t>
  </si>
  <si>
    <t>There are no pros. Unless you consider a random visit from the CEO as a pro.</t>
  </si>
  <si>
    <t>This company states that their core principles are personal, human, ethical and have staffs best interests at heart.  This is completely untrue.  This company treats staff like the dirt on their shoes and do not care about them.  It is all about corporate decisions with complete disregard to the staffs' feelings.  HR department...a joke.  They act like they are approachable but in fact they work for the company, not for the staff.  Massive difference between senior management and everyone else...take it as you will. Bunch of hypocrites.  They give you incentives which you think are amazing, but in fact are the worst incentives in comparison to other companies in the same industry.</t>
  </si>
  <si>
    <t>Great colleagues, horrible bosses.</t>
  </si>
  <si>
    <t>The company hires decent, hard working people in a range of ages who do their best. We can make our own hot drinks and we have dress down Fridays.</t>
  </si>
  <si>
    <t>From the top down. If you're a woman, forget it, unless you're married to someone else at the top. (Nepotism is rife here). Managers have no interest in staff welfare and have allowed bullies to thrive in their positions unchallenged, leading to a poisonous culture of bad mouthing and interteam rivalry which does nothing for customer outcomes. Want transparency in pay, flexible hours, supportive management, bosses who actually follow the company's published principles? Forget it. If you want to turn up, get paid, go home and go nowhere, this is the place to work. It's a pensions company with a terrible pension scheme. This tells you everything you really need to know.</t>
  </si>
  <si>
    <t>People make the place, the best Manager I've had in a long time (who since moved on...), Tesco outside...</t>
  </si>
  <si>
    <t>Management issues, salary is lower than average &amp; high employee turnover.</t>
  </si>
  <si>
    <t>Former Employee, more than 8 years</t>
  </si>
  <si>
    <t>Nothing - Managers think they are some kind of big shot and only look out for mates and give them jobs</t>
  </si>
  <si>
    <t>Managers just give mates a job, absolutely no prospects and they will regret letting all the experienced staff leave because they are doing</t>
  </si>
  <si>
    <t>Business Analyst</t>
  </si>
  <si>
    <t>Fantastic</t>
  </si>
  <si>
    <t>Excellent place to work, soon to be moving the main office based in Manchester to a new building the whole move having taken consultations of staff into account at every level, the company culture is fantastic and staff are friendly and helpful. Joy to work for and brilliant opportunities to come.</t>
  </si>
  <si>
    <t>Parking can be an issue and there could be more social engagements available.</t>
  </si>
  <si>
    <t>Royal Tunbridge Wells, England, England</t>
  </si>
  <si>
    <t>Great company to work for!</t>
  </si>
  <si>
    <t>Caring atmosphere. Friendly co-workers. In house training &amp; progression. Study support. Flexible working.</t>
  </si>
  <si>
    <t>Communication in certain situations &amp; could have higher pension contribution from the company.</t>
  </si>
  <si>
    <t>Senior Transfers Administrator</t>
  </si>
  <si>
    <t>Amazing career opportunities and great atmosphere</t>
  </si>
  <si>
    <t>AJ Bell is an excellent place to work, the culture and atmosphere is fantastic and staff are friendly and helpful. The company is amazing for career progression and management support your aspirations. An absolute pleasure to work for. The location is perfect right in the centre of Tunbridge Wells, close to local amenities and good for team social events.</t>
  </si>
  <si>
    <t>Parking is an issue around Tunbridge Wells but there is ample non-resident street parking around the town and some on-site parking available to staff and easy access to rail links.</t>
  </si>
  <si>
    <t>Trainee Accountant</t>
  </si>
  <si>
    <t>Trafford Park, England, England</t>
  </si>
  <si>
    <t>Working at AJ Bell</t>
  </si>
  <si>
    <t>- Great opportunities for training and career progression.  I am currently studying towards the ACCA qualification and AJ Bell offer full study support with paid study leave. - Rotations within the Finance department have meant that I have gained exposure to many of the key areas such as purchase ledger, sales ledger, cashbook and stat accounts. - Great team atmosphere!</t>
  </si>
  <si>
    <t>Great Company</t>
  </si>
  <si>
    <t>Very friendly office. Good management structure and lots of opportunities for progression.</t>
  </si>
  <si>
    <t>Current office slightly dated, but with a move to a new office space in a few months, nothing to worry about.</t>
  </si>
  <si>
    <t>Reputable forward thinking company</t>
  </si>
  <si>
    <t>Varied workforce, from graduates to more experienced members of staff, all friendly. Good social aspect, easy to get involved. Study support is very good when utilised. The company are often flexible to individual needs and management are down to earth and easy to get on with.</t>
  </si>
  <si>
    <t>Parking is an issue, and the building is outdated however the move to EQ4 early this year will go some way to addressing these.</t>
  </si>
  <si>
    <t>Recruitment in our area is great, they employ the person not the skills, so there's a great team and people get on really well together. Very little politics and negativity, everyone seems to be pulling in the same direction which is not true of many companies I've worked for. Excellent career progression for those willing to work hard and make the effort, good work and "above and beyond" recognised and rewarded</t>
  </si>
  <si>
    <t>Current building is very shabby, but we're moving soon. Sometimes it feels like your asked for an opinion on something even though the decision is already made. Can take a while to replace people, suspect down to recruitment policies (see 'pros' list). Pension offering not great in current market</t>
  </si>
  <si>
    <t>PA, Human Resources Support, Training and Development Support</t>
  </si>
  <si>
    <t>Great company culture with lots of training opportunities. Lots of support from colleagues and management. Lots of events and volunteer opportunities to get involved with.</t>
  </si>
  <si>
    <t>Parking is limited but with the new site move this should hopefully be resolved.</t>
  </si>
  <si>
    <t>Current Employee, more than 10 years</t>
  </si>
  <si>
    <t>Great opportunities for hard workers</t>
  </si>
  <si>
    <t>Opportunities to progress, support towards professional qualifications, social events,  great working environment, great team morale</t>
  </si>
  <si>
    <t>Nature of business doesn't allow true flexible working</t>
  </si>
  <si>
    <t>AJ Bell</t>
  </si>
  <si>
    <t>Fast moving, exciting organisation with a great culture and colleagues.</t>
  </si>
  <si>
    <t>Benefits (e.g. pension) package not as competitive as it could be for sector</t>
  </si>
  <si>
    <t>Placement</t>
  </si>
  <si>
    <t>Great team  Lots of support  In house training</t>
  </si>
  <si>
    <t>Can be stressful during busy periods</t>
  </si>
  <si>
    <t>Career progression</t>
  </si>
  <si>
    <t>New Offices Career progression - all jobs open internally, apprenticeship scheme Company performing extremely well  Free gym and pay day drinks</t>
  </si>
  <si>
    <t>Lack of free parking - Have to apply for a space</t>
  </si>
  <si>
    <t>My first few weeks at AJ Bell</t>
  </si>
  <si>
    <t>Fantastic staff Innovative and forward thinking company Organically growing and investing in its people Strong values and guiding principles Focussed on well-being Great facilities and environment Investment in to learning and development Clarity of company direction and goals Accessibility of senior leaders in the business Good social activities Supports local community</t>
  </si>
  <si>
    <t>The only "con" for me is the distance from my house. Not really much AJ Bell can do about that!</t>
  </si>
  <si>
    <t>Wish I'd known AJ Bell were local to me sooner</t>
  </si>
  <si>
    <t>Really friendly staff and great team culture Excellent career prospects  Lots of emphasis on learning &amp; development  Brilliant induction program  Facilities- next to tram stop, gym, pay day drinks, cafe, post office, newsagents</t>
  </si>
  <si>
    <t>Very busy, not making full use of all facilities, but this will change as the team develops</t>
  </si>
  <si>
    <t>PCLS placement student</t>
  </si>
  <si>
    <t>Great team, lots of support and training. Excellent facilities All staff are given level one introductory training about each of the different business areas, from here it is up to you whether to take this further but even as a year long placement student I was encouraged to take this further for my personal development. As a placement student I wasnt offered to complete my professional exams as it was a fixed term contract but they do offer it for long term employees. I had a great team around me and excellent mentors. I found the team leader (Martin) and manager (Lauren) to be full of knowledge and always there to push me to strive for better. The team itself was really approachable and everyone was happy to help where they could. I had quite a lot of interaction with other departments and it was really nice to see that there was a big family vibe across the business. The job itself has definitely helped me with my business awareness and the skills I learnt have meant that I have been able to secure a graduate scheme with one of the bulge bracket investment banks.</t>
  </si>
  <si>
    <t>Everyone was really knowledgeable in the team but there was a cap in the number of senior admins. Remove the cap and give people promotions (atleast to this level) based on skills and not vacancies Update computer systems (I know this was happening when I was leaving) but I donâ€™t know how it turned out</t>
  </si>
  <si>
    <t>Avoid at all costs</t>
  </si>
  <si>
    <t>just for a pay check</t>
  </si>
  <si>
    <t>They don't give people a fair chance, the basic HR system of aptitude tests doesn't work when it comes to employing new people or promoting those at junior levels</t>
  </si>
  <si>
    <t>Transfers Administrator</t>
  </si>
  <si>
    <t>Everything - great team, fair work loads, lots of support and great social / charity culture.</t>
  </si>
  <si>
    <t>None - only reason I left was they closed the Tunbridge Wells office</t>
  </si>
  <si>
    <t>London, England, England</t>
  </si>
  <si>
    <t>Good opportunities to progress - an improving company</t>
  </si>
  <si>
    <t>Plenty of opportunities for the right people to progress. Not afraid to spend money when needed. Not overly bogged down by management over-involvement.</t>
  </si>
  <si>
    <t>Very different cultures between Manchester &amp; London offices, which are not always to the benefit of the company. The company is so driven to remain at the bleeding edge of the industry, that it ignores what it already has. Embarrassingly poor benefits package. Customer service could be better - you get what you pay for.</t>
  </si>
  <si>
    <t>Great place to work!</t>
  </si>
  <si>
    <t>Family spirited workplace, when I walk around the floors I see everyone getting on with each other and having a laugh whilst being productive.  Fantastic Christmas party, payday drinks each month, paid volunteering opportunities (organised through work). Modern &amp; bright office. Amazing L&amp;D opportunities and paid learning for work.  Monthly leadership breakfasts with directors/heads of departments, free breakfast. Staff are kept updated with business progression, amazing atmosphere when we launched our IPO in December 2018.</t>
  </si>
  <si>
    <t>Lower than average pension contribution. Low holiday allowance (but increases with service and buy holiday scheme).</t>
  </si>
  <si>
    <t>Good place to start for new jobseekers</t>
  </si>
  <si>
    <t>I like the culture, colleagues are friendly. Regular feedback given.</t>
  </si>
  <si>
    <t>The location isn't good if you aren't on the tram network. Pay could be better.</t>
  </si>
  <si>
    <t>Extremely Comfortable but Slightly Boring</t>
  </si>
  <si>
    <t>Facilities and social are second to none</t>
  </si>
  <si>
    <t>Feel like you're a very small cog in a big machine</t>
  </si>
  <si>
    <t>Investment Administrator</t>
  </si>
  <si>
    <t>Good First Job</t>
  </si>
  <si>
    <t>Great people,  good company culture, lovely office space and decent location</t>
  </si>
  <si>
    <t>Slight lack of career progression,  have skills which could be better utlitised but most people stuck in admin/customer service roles - nature of the business I guess!</t>
  </si>
  <si>
    <t>TPA</t>
  </si>
  <si>
    <t>Great Starting block</t>
  </si>
  <si>
    <t>wage nice managers simple work they give young people a chance</t>
  </si>
  <si>
    <t>questionable progression hours( however they were making more flexible)</t>
  </si>
  <si>
    <t>Great company to work for</t>
  </si>
  <si>
    <t>Flexible days off, friendly co-workers</t>
  </si>
  <si>
    <t>Limited progression, not great pay for the work</t>
  </si>
  <si>
    <t>Salford, North West England, England, England</t>
  </si>
  <si>
    <t>Good employer</t>
  </si>
  <si>
    <t>Growing firm with a good reputation</t>
  </si>
  <si>
    <t>Large turnover of staff lower paid roles</t>
  </si>
  <si>
    <t>Scrum Master</t>
  </si>
  <si>
    <t>A great collaborative company</t>
  </si>
  <si>
    <t>Collaboration, great benefits, good work /life balance</t>
  </si>
  <si>
    <t>Not great for the commute</t>
  </si>
  <si>
    <t>Great Opportunities and Support but limited pay progression</t>
  </si>
  <si>
    <t>Great offices and benefits on offer. Great Learning &amp; Development Team and qualifications offered from apprenticeships to professional qualifications. Good opportunity for progression, like many employers hard work is rewarded in the long run. Has handled the COVID situation remarkably well considering WFH was never an option for anyone below management previously as it was not believed it would be possible across the board, they have proven themselves wrong and adapted very quickly offering a lot of support and have not been afraid to provide the resource required to make it possible.</t>
  </si>
  <si>
    <t>Salary, although advertised as competitive, often falls short of the mark when compared to market competitors which can create a level of dissatisfaction within the workforce. Pay progression is also slow with little clarity on how to move up the pay scale. This is not helped by emails often sent by the board advertising how profitable the company is continuing to be. Despite being a relatively young company some of the views and attitudes held higher in the company can sometimes be a little Dickensian with regards to feedback and criticism.</t>
  </si>
  <si>
    <t>Fairly average company</t>
  </si>
  <si>
    <t>Great working atmosphere, lots of chance for progression</t>
  </si>
  <si>
    <t>Pay falls very short of the market rate, progression is encouraged and easy if you work hard however wages barely increase.</t>
  </si>
  <si>
    <t>Human Resources Coordinator</t>
  </si>
  <si>
    <t>Gender Discrimination and Coverups</t>
  </si>
  <si>
    <t>If youâ€™re a straight white male this is the place for you. You can treat members of staff how you like safe in the knowledge that itâ€™ll be covered up for you.</t>
  </si>
  <si>
    <t>Too many to list.  HR is biased and sides with management. Management lie about sexist remarks being made. If youâ€™re lucky to be assigned an actual job role then expect to cover other peopleâ€™s jobs and be told theyâ€™re too stressed to currently do their own.</t>
  </si>
  <si>
    <t>If you're not a yes man your chances of getting a senior role are slim to none</t>
  </si>
  <si>
    <t>Some of the staff are fantastic and completely overlooked for their efforts.  Gym had good equipment and trainers lovely.</t>
  </si>
  <si>
    <t>Alot of false hope given to make you think you'll be promoted etc when in reality if your face doesn't fit you never stand a chance in the first place. Alot of management promoting friends over people that deserve the promotions. If you have any personal problems do not go to management or HR - no understanding and anything gets used against you. Bonuses depend on if the manager can find anything to use so they don't have to give it you no matter how hard you have worked (or so it was on the department I worked)</t>
  </si>
  <si>
    <t>Business Development</t>
  </si>
  <si>
    <t>Great office and working environment, good on-site facilities, gym, roof terrace and large communal area. Well organised and well attended company events, Financial support for relevant professional qualifications.</t>
  </si>
  <si>
    <t>Due to location parking can be difficult for those without a company space, although public transport links nearby are very good.</t>
  </si>
  <si>
    <t>Business Development Manager</t>
  </si>
  <si>
    <t>Great business for progression and genuine family feel</t>
  </si>
  <si>
    <t>I've been working at AJ Bell for over 15 years and during that time have worked in 5 different roles, progressing each time to the role I am in now. The business is at a scale now which means there is genuine opportunity to not only progress but also to diversify in terms of the direction of your career and also your skills.  There is a real family feel here and I feel genuinely valued as an employee. Having a young family myself and a full time job can be tricky to manage, but AJ Bell have been nothing but supportive to incorporate flexibility where possible. The on-site gym, pay day drinks and numerous opportunities to socialise with team mates are a real bonus to an already great business.</t>
  </si>
  <si>
    <t>None at all from my perspective</t>
  </si>
  <si>
    <t>Compliance Monitoring Officer</t>
  </si>
  <si>
    <t>Fantastic Company</t>
  </si>
  <si>
    <t>Great culture within the business towards staff and customers - really refreshing to work at a place like this. Supportive - Management within my area have been amazing in support given for training, progression, workload and even personal life. They really care about you and not just hitting targets. Successful - whilst no job is 100% stable because of how good the company is I feel a greater level of security than I have elsewhere. The company is profitable, expanding and has even got through the COVID 19 pandemic without furloughing staff and impacting customers (in fact they have provided charitable funds and goods to those that need it most).</t>
  </si>
  <si>
    <t>I have no real cons about the place. What I have found is that where an issue is raised the business listen and try to react. Also, the business proactively look for concerns with an annual survey as well as ongoing communication.</t>
  </si>
  <si>
    <t>Customer Service Administrator</t>
  </si>
  <si>
    <t>Amazing Company + Great Progression</t>
  </si>
  <si>
    <t>Friendly staff, Good Progression, Extra Qualifications, Fast Paced, Amazing Managers</t>
  </si>
  <si>
    <t>Pension Contribution % is a bit low</t>
  </si>
  <si>
    <t>Started at the bottom as Administrator and worked my way up to Management</t>
  </si>
  <si>
    <t>Progression professional qualifications amazing company and on the job training  well looked after from day 1 amazing culture  family feel within the Departments amazing office facilities  the customers at the heart of everything we do</t>
  </si>
  <si>
    <t>pension contribution could be a little higher but all the benefits offered outweigh this.</t>
  </si>
  <si>
    <t>Portfolio Manager</t>
  </si>
  <si>
    <t>Great financial services company outside London</t>
  </si>
  <si>
    <t>Great culture, office and staff. A meritocracy with the chance to progress</t>
  </si>
  <si>
    <t>Company benefits slightly worse than other places I have worked</t>
  </si>
  <si>
    <t>Senior Administrator</t>
  </si>
  <si>
    <t>I love being a part of AJ Bell</t>
  </si>
  <si>
    <t>A refreshing working atmosphere Available and welcoming management Excellent training courses (internal and external) available Employee benefits - gym, parking, pay day drinks etc. AJ Bell regularly support charities and many volunteering days available</t>
  </si>
  <si>
    <t>The salary could be better when comparing it to other similar job roles</t>
  </si>
  <si>
    <t>Couldn't love my place of work more!</t>
  </si>
  <si>
    <t>Product</t>
  </si>
  <si>
    <t>An excellent company to work for.</t>
  </si>
  <si>
    <t>Opportunities for career progression are equitable, a can do attitude goes a long for those aiming to progress. Personal development is a large factor of daily life, the dedicated learning and development team provide a range of in-house training courses. There is also encouragement for professional qualifications to be completed by employees, in every area of the business which further opens doors for career development.  A strong sense of togetherness is seen across the business through a blend of social events and also numerous areas for social interaction within the office.</t>
  </si>
  <si>
    <t>Whilst the location of the office is in an up and coming area of Manchester that is being heavily developed it can be difficult for some to access via public transport, in particular by train. A large portion of staff do however get access to free onsite parking.</t>
  </si>
  <si>
    <t>Great working atmosphere with friendly and encouraging management.  The chance of progression is on offer for everyone and you are rewarded for hard work and a positive attitude.</t>
  </si>
  <si>
    <t>Pay could be better in comparison to competitors but other benefits more than make up for this</t>
  </si>
  <si>
    <t>Great place to work!!</t>
  </si>
  <si>
    <t>Great office space, friendly staff, great opportunities for progression!!</t>
  </si>
  <si>
    <t>None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</si>
</sst>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40B7-49BF-4F6E-B496-6E91A7BE1CCB}">
  <dimension ref="A1:T100"/>
  <sheetViews>
    <sheetView tabSelected="1" workbookViewId="0">
      <selection sqref="A1:T100"/>
    </sheetView>
  </sheetViews>
  <sheetFormatPr defaultRowHeight="14.4" x14ac:dyDescent="0.3"/>
  <cols>
    <col min="2" max="2" width="36.77734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42397</v>
      </c>
      <c r="C2" t="s">
        <v>21</v>
      </c>
      <c r="D2" t="s">
        <v>22</v>
      </c>
      <c r="E2" t="s">
        <v>23</v>
      </c>
      <c r="F2">
        <v>1</v>
      </c>
      <c r="G2">
        <v>1</v>
      </c>
      <c r="H2">
        <v>1</v>
      </c>
      <c r="I2">
        <v>1</v>
      </c>
      <c r="J2">
        <v>1</v>
      </c>
      <c r="K2">
        <v>1</v>
      </c>
      <c r="L2" t="s">
        <v>24</v>
      </c>
      <c r="M2" t="s">
        <v>25</v>
      </c>
      <c r="N2" t="s">
        <v>26</v>
      </c>
      <c r="O2" t="s">
        <v>27</v>
      </c>
      <c r="P2" t="s">
        <v>28</v>
      </c>
      <c r="Q2" t="s">
        <v>29</v>
      </c>
      <c r="R2">
        <v>2016</v>
      </c>
      <c r="S2">
        <v>10</v>
      </c>
      <c r="T2">
        <v>33</v>
      </c>
    </row>
    <row r="3" spans="1:20" x14ac:dyDescent="0.3">
      <c r="A3" t="s">
        <v>20</v>
      </c>
      <c r="B3" s="1">
        <v>42483</v>
      </c>
      <c r="C3" t="s">
        <v>21</v>
      </c>
      <c r="D3" t="s">
        <v>30</v>
      </c>
      <c r="E3" t="s">
        <v>23</v>
      </c>
      <c r="F3">
        <v>1</v>
      </c>
      <c r="G3">
        <v>2</v>
      </c>
      <c r="H3">
        <v>1</v>
      </c>
      <c r="I3">
        <v>2</v>
      </c>
      <c r="J3">
        <v>1</v>
      </c>
      <c r="K3">
        <v>1</v>
      </c>
      <c r="L3" t="s">
        <v>24</v>
      </c>
      <c r="M3" t="s">
        <v>25</v>
      </c>
      <c r="N3" t="s">
        <v>26</v>
      </c>
      <c r="O3" t="s">
        <v>31</v>
      </c>
      <c r="P3" t="s">
        <v>32</v>
      </c>
      <c r="Q3" t="s">
        <v>33</v>
      </c>
      <c r="R3">
        <v>2016</v>
      </c>
      <c r="S3">
        <v>7</v>
      </c>
      <c r="T3">
        <v>41</v>
      </c>
    </row>
    <row r="4" spans="1:20" x14ac:dyDescent="0.3">
      <c r="A4" t="s">
        <v>20</v>
      </c>
      <c r="B4" s="1">
        <v>42638</v>
      </c>
      <c r="C4" t="s">
        <v>34</v>
      </c>
      <c r="D4" t="s">
        <v>35</v>
      </c>
      <c r="E4" t="s">
        <v>36</v>
      </c>
      <c r="F4">
        <v>5</v>
      </c>
      <c r="G4">
        <v>5</v>
      </c>
      <c r="H4">
        <v>5</v>
      </c>
      <c r="I4">
        <v>5</v>
      </c>
      <c r="J4">
        <v>4</v>
      </c>
      <c r="K4">
        <v>5</v>
      </c>
      <c r="L4" t="s">
        <v>37</v>
      </c>
      <c r="M4" t="s">
        <v>25</v>
      </c>
      <c r="N4" t="s">
        <v>37</v>
      </c>
      <c r="O4" t="s">
        <v>38</v>
      </c>
      <c r="P4" t="s">
        <v>39</v>
      </c>
      <c r="Q4" t="s">
        <v>40</v>
      </c>
      <c r="R4">
        <v>2016</v>
      </c>
      <c r="S4">
        <v>22</v>
      </c>
      <c r="T4">
        <v>36</v>
      </c>
    </row>
    <row r="5" spans="1:20" x14ac:dyDescent="0.3">
      <c r="A5" t="s">
        <v>20</v>
      </c>
      <c r="B5" s="1">
        <v>42677</v>
      </c>
      <c r="C5" t="s">
        <v>34</v>
      </c>
      <c r="D5" t="s">
        <v>41</v>
      </c>
      <c r="E5" t="s">
        <v>42</v>
      </c>
      <c r="F5">
        <v>4</v>
      </c>
      <c r="G5">
        <v>4</v>
      </c>
      <c r="H5">
        <v>4</v>
      </c>
      <c r="I5">
        <v>4</v>
      </c>
      <c r="J5">
        <v>4</v>
      </c>
      <c r="K5">
        <v>4</v>
      </c>
      <c r="L5" t="s">
        <v>37</v>
      </c>
      <c r="M5" t="s">
        <v>25</v>
      </c>
      <c r="N5" t="s">
        <v>37</v>
      </c>
      <c r="O5" t="s">
        <v>43</v>
      </c>
      <c r="P5" t="s">
        <v>44</v>
      </c>
      <c r="Q5" t="s">
        <v>45</v>
      </c>
      <c r="R5">
        <v>2016</v>
      </c>
      <c r="S5">
        <v>21</v>
      </c>
      <c r="T5">
        <v>7</v>
      </c>
    </row>
    <row r="6" spans="1:20" x14ac:dyDescent="0.3">
      <c r="A6" t="s">
        <v>20</v>
      </c>
      <c r="B6" s="1">
        <v>42787</v>
      </c>
      <c r="C6" t="s">
        <v>46</v>
      </c>
      <c r="D6" t="s">
        <v>47</v>
      </c>
      <c r="E6" t="s">
        <v>48</v>
      </c>
      <c r="F6">
        <v>1</v>
      </c>
      <c r="G6">
        <v>1</v>
      </c>
      <c r="H6">
        <v>1</v>
      </c>
      <c r="I6">
        <v>1</v>
      </c>
      <c r="J6">
        <v>3</v>
      </c>
      <c r="K6">
        <v>1</v>
      </c>
      <c r="L6" t="s">
        <v>24</v>
      </c>
      <c r="M6" t="s">
        <v>24</v>
      </c>
      <c r="N6" t="s">
        <v>26</v>
      </c>
      <c r="O6" t="s">
        <v>49</v>
      </c>
      <c r="P6" t="s">
        <v>50</v>
      </c>
      <c r="Q6" t="s">
        <v>51</v>
      </c>
      <c r="R6">
        <v>2017</v>
      </c>
      <c r="S6">
        <v>5</v>
      </c>
      <c r="T6">
        <v>29</v>
      </c>
    </row>
    <row r="7" spans="1:20" x14ac:dyDescent="0.3">
      <c r="A7" t="s">
        <v>20</v>
      </c>
      <c r="B7" s="1">
        <v>42800</v>
      </c>
      <c r="C7" t="s">
        <v>52</v>
      </c>
      <c r="D7" t="s">
        <v>22</v>
      </c>
      <c r="E7" t="s">
        <v>53</v>
      </c>
      <c r="F7">
        <v>1</v>
      </c>
      <c r="G7">
        <v>3</v>
      </c>
      <c r="H7">
        <v>1</v>
      </c>
      <c r="I7">
        <v>2</v>
      </c>
      <c r="J7">
        <v>1</v>
      </c>
      <c r="K7">
        <v>1</v>
      </c>
      <c r="L7" t="s">
        <v>24</v>
      </c>
      <c r="M7" t="s">
        <v>24</v>
      </c>
      <c r="N7" t="s">
        <v>26</v>
      </c>
      <c r="O7" t="s">
        <v>54</v>
      </c>
      <c r="P7" t="s">
        <v>55</v>
      </c>
      <c r="Q7" t="s">
        <v>56</v>
      </c>
      <c r="R7">
        <v>2017</v>
      </c>
      <c r="S7">
        <v>15</v>
      </c>
      <c r="T7">
        <v>17</v>
      </c>
    </row>
    <row r="8" spans="1:20" x14ac:dyDescent="0.3">
      <c r="A8" t="s">
        <v>20</v>
      </c>
      <c r="B8" s="1">
        <v>42804</v>
      </c>
      <c r="C8" t="s">
        <v>52</v>
      </c>
      <c r="D8" t="s">
        <v>41</v>
      </c>
      <c r="E8" t="s">
        <v>57</v>
      </c>
      <c r="F8">
        <v>1</v>
      </c>
      <c r="G8">
        <v>2</v>
      </c>
      <c r="H8">
        <v>1</v>
      </c>
      <c r="I8">
        <v>2</v>
      </c>
      <c r="J8">
        <v>2</v>
      </c>
      <c r="K8">
        <v>1</v>
      </c>
      <c r="L8" t="s">
        <v>24</v>
      </c>
      <c r="M8" t="s">
        <v>24</v>
      </c>
      <c r="N8" t="s">
        <v>26</v>
      </c>
      <c r="O8" t="s">
        <v>58</v>
      </c>
      <c r="P8" t="s">
        <v>59</v>
      </c>
      <c r="Q8" t="s">
        <v>60</v>
      </c>
      <c r="R8">
        <v>2017</v>
      </c>
      <c r="S8">
        <v>20</v>
      </c>
      <c r="T8">
        <v>63</v>
      </c>
    </row>
    <row r="9" spans="1:20" x14ac:dyDescent="0.3">
      <c r="A9" t="s">
        <v>20</v>
      </c>
      <c r="B9" s="1">
        <v>42870</v>
      </c>
      <c r="C9" t="s">
        <v>61</v>
      </c>
      <c r="D9" t="s">
        <v>22</v>
      </c>
      <c r="E9" t="s">
        <v>42</v>
      </c>
      <c r="F9">
        <v>4</v>
      </c>
      <c r="G9">
        <v>5</v>
      </c>
      <c r="H9">
        <v>4</v>
      </c>
      <c r="I9">
        <v>5</v>
      </c>
      <c r="J9">
        <v>4</v>
      </c>
      <c r="K9">
        <v>4</v>
      </c>
      <c r="L9" t="s">
        <v>37</v>
      </c>
      <c r="M9" t="s">
        <v>37</v>
      </c>
      <c r="N9" t="s">
        <v>37</v>
      </c>
      <c r="O9" t="s">
        <v>62</v>
      </c>
      <c r="P9" t="s">
        <v>63</v>
      </c>
      <c r="Q9" t="s">
        <v>64</v>
      </c>
      <c r="R9">
        <v>2017</v>
      </c>
      <c r="S9">
        <v>29</v>
      </c>
      <c r="T9">
        <v>4</v>
      </c>
    </row>
    <row r="10" spans="1:20" x14ac:dyDescent="0.3">
      <c r="A10" t="s">
        <v>20</v>
      </c>
      <c r="B10" s="1">
        <v>42876</v>
      </c>
      <c r="C10" t="s">
        <v>52</v>
      </c>
      <c r="D10" t="s">
        <v>65</v>
      </c>
      <c r="E10" t="s">
        <v>66</v>
      </c>
      <c r="F10">
        <v>1</v>
      </c>
      <c r="G10">
        <v>4</v>
      </c>
      <c r="H10">
        <v>1</v>
      </c>
      <c r="I10">
        <v>2</v>
      </c>
      <c r="J10">
        <v>4</v>
      </c>
      <c r="K10">
        <v>1</v>
      </c>
      <c r="L10" t="s">
        <v>25</v>
      </c>
      <c r="M10" t="s">
        <v>37</v>
      </c>
      <c r="N10" t="s">
        <v>37</v>
      </c>
      <c r="O10" t="s">
        <v>67</v>
      </c>
      <c r="P10" t="s">
        <v>68</v>
      </c>
      <c r="Q10" t="s">
        <v>69</v>
      </c>
      <c r="R10">
        <v>2017</v>
      </c>
      <c r="S10">
        <v>28</v>
      </c>
      <c r="T10">
        <v>134</v>
      </c>
    </row>
    <row r="11" spans="1:20" x14ac:dyDescent="0.3">
      <c r="A11" t="s">
        <v>20</v>
      </c>
      <c r="B11" s="1">
        <v>42886</v>
      </c>
      <c r="C11" t="s">
        <v>70</v>
      </c>
      <c r="D11" t="s">
        <v>71</v>
      </c>
      <c r="E11" t="s">
        <v>23</v>
      </c>
      <c r="F11">
        <v>5</v>
      </c>
      <c r="G11">
        <v>4</v>
      </c>
      <c r="H11">
        <v>4</v>
      </c>
      <c r="I11">
        <v>5</v>
      </c>
      <c r="J11">
        <v>5</v>
      </c>
      <c r="K11">
        <v>5</v>
      </c>
      <c r="L11" t="s">
        <v>25</v>
      </c>
      <c r="M11" t="s">
        <v>25</v>
      </c>
      <c r="N11" t="s">
        <v>72</v>
      </c>
      <c r="O11" t="s">
        <v>73</v>
      </c>
      <c r="P11" t="s">
        <v>74</v>
      </c>
      <c r="Q11" t="s">
        <v>75</v>
      </c>
      <c r="R11">
        <v>2017</v>
      </c>
      <c r="S11">
        <v>124</v>
      </c>
      <c r="T11">
        <v>19</v>
      </c>
    </row>
    <row r="12" spans="1:20" x14ac:dyDescent="0.3">
      <c r="A12" t="s">
        <v>20</v>
      </c>
      <c r="B12" s="1">
        <v>42888</v>
      </c>
      <c r="C12" t="s">
        <v>34</v>
      </c>
      <c r="D12" t="s">
        <v>76</v>
      </c>
      <c r="E12" t="s">
        <v>42</v>
      </c>
      <c r="F12">
        <v>5</v>
      </c>
      <c r="G12">
        <v>5</v>
      </c>
      <c r="H12">
        <v>5</v>
      </c>
      <c r="I12">
        <v>4</v>
      </c>
      <c r="J12">
        <v>3</v>
      </c>
      <c r="K12">
        <v>4</v>
      </c>
      <c r="L12" t="s">
        <v>37</v>
      </c>
      <c r="M12" t="s">
        <v>37</v>
      </c>
      <c r="N12" t="s">
        <v>37</v>
      </c>
      <c r="O12" t="s">
        <v>77</v>
      </c>
      <c r="P12" t="s">
        <v>78</v>
      </c>
      <c r="Q12" t="s">
        <v>79</v>
      </c>
      <c r="R12">
        <v>2017</v>
      </c>
      <c r="S12">
        <v>51</v>
      </c>
      <c r="T12">
        <v>5</v>
      </c>
    </row>
    <row r="13" spans="1:20" x14ac:dyDescent="0.3">
      <c r="A13" t="s">
        <v>20</v>
      </c>
      <c r="B13" s="1">
        <v>42895</v>
      </c>
      <c r="C13" t="s">
        <v>34</v>
      </c>
      <c r="D13" t="s">
        <v>71</v>
      </c>
      <c r="E13" t="s">
        <v>42</v>
      </c>
      <c r="F13">
        <v>5</v>
      </c>
      <c r="G13">
        <v>4</v>
      </c>
      <c r="H13">
        <v>4</v>
      </c>
      <c r="I13">
        <v>4</v>
      </c>
      <c r="J13">
        <v>4</v>
      </c>
      <c r="K13">
        <v>3</v>
      </c>
      <c r="L13" t="s">
        <v>37</v>
      </c>
      <c r="M13" t="s">
        <v>37</v>
      </c>
      <c r="N13" t="s">
        <v>37</v>
      </c>
      <c r="O13" t="s">
        <v>80</v>
      </c>
      <c r="P13" t="s">
        <v>81</v>
      </c>
      <c r="Q13" t="s">
        <v>82</v>
      </c>
      <c r="R13">
        <v>2017</v>
      </c>
      <c r="S13">
        <v>46</v>
      </c>
      <c r="T13">
        <v>39</v>
      </c>
    </row>
    <row r="14" spans="1:20" x14ac:dyDescent="0.3">
      <c r="A14" t="s">
        <v>20</v>
      </c>
      <c r="B14" s="1">
        <v>42898</v>
      </c>
      <c r="C14" t="s">
        <v>34</v>
      </c>
      <c r="D14" t="s">
        <v>30</v>
      </c>
      <c r="E14" t="s">
        <v>42</v>
      </c>
      <c r="F14">
        <v>4</v>
      </c>
      <c r="G14">
        <v>4</v>
      </c>
      <c r="H14">
        <v>4</v>
      </c>
      <c r="I14">
        <v>3</v>
      </c>
      <c r="J14">
        <v>3</v>
      </c>
      <c r="K14">
        <v>4</v>
      </c>
      <c r="L14" t="s">
        <v>37</v>
      </c>
      <c r="M14" t="s">
        <v>37</v>
      </c>
      <c r="N14" t="s">
        <v>72</v>
      </c>
      <c r="O14" t="s">
        <v>83</v>
      </c>
      <c r="P14" t="s">
        <v>84</v>
      </c>
      <c r="Q14" t="s">
        <v>85</v>
      </c>
      <c r="R14">
        <v>2017</v>
      </c>
      <c r="S14">
        <v>11</v>
      </c>
      <c r="T14">
        <v>13</v>
      </c>
    </row>
    <row r="15" spans="1:20" x14ac:dyDescent="0.3">
      <c r="A15" t="s">
        <v>20</v>
      </c>
      <c r="B15" s="1">
        <v>42913</v>
      </c>
      <c r="C15" t="s">
        <v>34</v>
      </c>
      <c r="D15" t="s">
        <v>76</v>
      </c>
      <c r="E15" t="s">
        <v>42</v>
      </c>
      <c r="F15">
        <v>5</v>
      </c>
      <c r="G15">
        <v>5</v>
      </c>
      <c r="H15">
        <v>5</v>
      </c>
      <c r="I15">
        <v>4</v>
      </c>
      <c r="J15">
        <v>5</v>
      </c>
      <c r="K15">
        <v>4</v>
      </c>
      <c r="L15" t="s">
        <v>37</v>
      </c>
      <c r="M15" t="s">
        <v>25</v>
      </c>
      <c r="N15" t="s">
        <v>37</v>
      </c>
      <c r="O15" t="s">
        <v>86</v>
      </c>
      <c r="P15" t="s">
        <v>87</v>
      </c>
      <c r="Q15" t="s">
        <v>88</v>
      </c>
      <c r="R15">
        <v>2017</v>
      </c>
      <c r="S15">
        <v>306</v>
      </c>
      <c r="T15">
        <v>51</v>
      </c>
    </row>
    <row r="16" spans="1:20" x14ac:dyDescent="0.3">
      <c r="A16" t="s">
        <v>20</v>
      </c>
      <c r="B16" s="1">
        <v>42918</v>
      </c>
      <c r="C16" t="s">
        <v>70</v>
      </c>
      <c r="D16" t="s">
        <v>30</v>
      </c>
      <c r="E16" t="s">
        <v>23</v>
      </c>
      <c r="F16">
        <v>5</v>
      </c>
      <c r="G16">
        <v>5</v>
      </c>
      <c r="H16">
        <v>5</v>
      </c>
      <c r="I16">
        <v>5</v>
      </c>
      <c r="J16">
        <v>5</v>
      </c>
      <c r="K16">
        <v>5</v>
      </c>
      <c r="L16" t="s">
        <v>37</v>
      </c>
      <c r="M16" t="s">
        <v>25</v>
      </c>
      <c r="N16" t="s">
        <v>37</v>
      </c>
      <c r="O16" t="s">
        <v>86</v>
      </c>
      <c r="P16" t="s">
        <v>89</v>
      </c>
      <c r="Q16" t="s">
        <v>90</v>
      </c>
      <c r="R16">
        <v>2017</v>
      </c>
      <c r="S16">
        <v>203</v>
      </c>
      <c r="T16">
        <v>10</v>
      </c>
    </row>
    <row r="17" spans="1:20" x14ac:dyDescent="0.3">
      <c r="A17" t="s">
        <v>20</v>
      </c>
      <c r="B17" s="1">
        <v>42948</v>
      </c>
      <c r="C17" t="s">
        <v>34</v>
      </c>
      <c r="D17" t="s">
        <v>41</v>
      </c>
      <c r="E17" t="s">
        <v>42</v>
      </c>
      <c r="F17">
        <v>2</v>
      </c>
      <c r="G17">
        <v>1</v>
      </c>
      <c r="H17">
        <v>1</v>
      </c>
      <c r="I17">
        <v>1</v>
      </c>
      <c r="J17">
        <v>1</v>
      </c>
      <c r="K17">
        <v>1</v>
      </c>
      <c r="L17" t="s">
        <v>24</v>
      </c>
      <c r="M17" t="s">
        <v>25</v>
      </c>
      <c r="N17" t="s">
        <v>72</v>
      </c>
      <c r="O17" t="s">
        <v>91</v>
      </c>
      <c r="P17" t="s">
        <v>92</v>
      </c>
      <c r="Q17" t="s">
        <v>93</v>
      </c>
      <c r="R17">
        <v>2017</v>
      </c>
      <c r="S17">
        <v>5</v>
      </c>
      <c r="T17">
        <v>24</v>
      </c>
    </row>
    <row r="18" spans="1:20" x14ac:dyDescent="0.3">
      <c r="A18" t="s">
        <v>20</v>
      </c>
      <c r="B18" s="1">
        <v>43049</v>
      </c>
      <c r="C18" t="s">
        <v>34</v>
      </c>
      <c r="D18" t="s">
        <v>91</v>
      </c>
      <c r="E18" t="s">
        <v>42</v>
      </c>
      <c r="F18">
        <v>4</v>
      </c>
      <c r="G18">
        <v>5</v>
      </c>
      <c r="H18">
        <v>5</v>
      </c>
      <c r="I18">
        <v>5</v>
      </c>
      <c r="J18">
        <v>4</v>
      </c>
      <c r="K18">
        <v>4</v>
      </c>
      <c r="L18" t="s">
        <v>37</v>
      </c>
      <c r="M18" t="s">
        <v>25</v>
      </c>
      <c r="N18" t="s">
        <v>37</v>
      </c>
      <c r="O18" t="s">
        <v>94</v>
      </c>
      <c r="P18" t="s">
        <v>95</v>
      </c>
      <c r="Q18" t="s">
        <v>96</v>
      </c>
      <c r="R18">
        <v>2017</v>
      </c>
      <c r="S18">
        <v>54</v>
      </c>
      <c r="T18">
        <v>9</v>
      </c>
    </row>
    <row r="19" spans="1:20" x14ac:dyDescent="0.3">
      <c r="A19" t="s">
        <v>20</v>
      </c>
      <c r="B19" s="1">
        <v>43081</v>
      </c>
      <c r="C19" t="s">
        <v>97</v>
      </c>
      <c r="D19" t="s">
        <v>98</v>
      </c>
      <c r="E19" t="s">
        <v>99</v>
      </c>
      <c r="F19">
        <v>5</v>
      </c>
      <c r="G19">
        <v>5</v>
      </c>
      <c r="H19">
        <v>5</v>
      </c>
      <c r="I19">
        <v>5</v>
      </c>
      <c r="J19">
        <v>5</v>
      </c>
      <c r="K19">
        <v>5</v>
      </c>
      <c r="L19" t="s">
        <v>37</v>
      </c>
      <c r="M19" t="s">
        <v>25</v>
      </c>
      <c r="N19" t="s">
        <v>37</v>
      </c>
      <c r="O19" t="s">
        <v>100</v>
      </c>
      <c r="P19" t="s">
        <v>101</v>
      </c>
      <c r="Q19" t="s">
        <v>102</v>
      </c>
      <c r="R19">
        <v>2017</v>
      </c>
      <c r="S19">
        <v>12</v>
      </c>
      <c r="T19">
        <v>10</v>
      </c>
    </row>
    <row r="20" spans="1:20" x14ac:dyDescent="0.3">
      <c r="A20" t="s">
        <v>20</v>
      </c>
      <c r="B20" s="1">
        <v>43129</v>
      </c>
      <c r="C20" t="s">
        <v>34</v>
      </c>
      <c r="D20" t="s">
        <v>76</v>
      </c>
      <c r="E20" t="s">
        <v>42</v>
      </c>
      <c r="F20">
        <v>5</v>
      </c>
      <c r="G20">
        <v>5</v>
      </c>
      <c r="H20">
        <v>5</v>
      </c>
      <c r="I20">
        <v>5</v>
      </c>
      <c r="J20">
        <v>5</v>
      </c>
      <c r="K20">
        <v>5</v>
      </c>
      <c r="L20" t="s">
        <v>37</v>
      </c>
      <c r="M20" t="s">
        <v>25</v>
      </c>
      <c r="N20" t="s">
        <v>37</v>
      </c>
      <c r="O20" t="s">
        <v>103</v>
      </c>
      <c r="P20" t="s">
        <v>104</v>
      </c>
      <c r="Q20" t="s">
        <v>105</v>
      </c>
      <c r="R20">
        <v>2018</v>
      </c>
      <c r="S20">
        <v>8</v>
      </c>
      <c r="T20">
        <v>10</v>
      </c>
    </row>
    <row r="21" spans="1:20" x14ac:dyDescent="0.3">
      <c r="A21" t="s">
        <v>20</v>
      </c>
      <c r="B21" s="1">
        <v>43286</v>
      </c>
      <c r="C21" t="s">
        <v>34</v>
      </c>
      <c r="D21" t="s">
        <v>47</v>
      </c>
      <c r="E21" t="s">
        <v>42</v>
      </c>
      <c r="F21">
        <v>1</v>
      </c>
      <c r="G21">
        <v>3</v>
      </c>
      <c r="H21">
        <v>1</v>
      </c>
      <c r="I21">
        <v>2</v>
      </c>
      <c r="J21">
        <v>1</v>
      </c>
      <c r="K21">
        <v>1</v>
      </c>
      <c r="L21" t="s">
        <v>24</v>
      </c>
      <c r="M21" t="s">
        <v>24</v>
      </c>
      <c r="N21" t="s">
        <v>37</v>
      </c>
      <c r="O21" t="s">
        <v>106</v>
      </c>
      <c r="P21" t="s">
        <v>107</v>
      </c>
      <c r="Q21" t="s">
        <v>108</v>
      </c>
      <c r="R21">
        <v>2018</v>
      </c>
      <c r="S21">
        <v>15</v>
      </c>
      <c r="T21">
        <v>43</v>
      </c>
    </row>
    <row r="22" spans="1:20" x14ac:dyDescent="0.3">
      <c r="A22" t="s">
        <v>20</v>
      </c>
      <c r="B22" s="1">
        <v>43314</v>
      </c>
      <c r="C22" t="s">
        <v>34</v>
      </c>
      <c r="D22" t="s">
        <v>71</v>
      </c>
      <c r="E22" t="s">
        <v>42</v>
      </c>
      <c r="F22">
        <v>5</v>
      </c>
      <c r="G22">
        <v>5</v>
      </c>
      <c r="H22">
        <v>5</v>
      </c>
      <c r="I22">
        <v>4</v>
      </c>
      <c r="J22">
        <v>4</v>
      </c>
      <c r="K22">
        <v>4</v>
      </c>
      <c r="L22" t="s">
        <v>37</v>
      </c>
      <c r="M22" t="s">
        <v>25</v>
      </c>
      <c r="N22" t="s">
        <v>37</v>
      </c>
      <c r="O22" t="s">
        <v>109</v>
      </c>
      <c r="P22" t="s">
        <v>110</v>
      </c>
      <c r="Q22" t="s">
        <v>111</v>
      </c>
      <c r="R22">
        <v>2018</v>
      </c>
      <c r="S22">
        <v>11</v>
      </c>
      <c r="T22">
        <v>8</v>
      </c>
    </row>
    <row r="23" spans="1:20" x14ac:dyDescent="0.3">
      <c r="A23" t="s">
        <v>20</v>
      </c>
      <c r="B23" s="1">
        <v>43350</v>
      </c>
      <c r="C23" t="s">
        <v>34</v>
      </c>
      <c r="D23" t="s">
        <v>76</v>
      </c>
      <c r="E23" t="s">
        <v>42</v>
      </c>
      <c r="F23">
        <v>4</v>
      </c>
      <c r="G23">
        <v>3</v>
      </c>
      <c r="H23">
        <v>3</v>
      </c>
      <c r="I23">
        <v>5</v>
      </c>
      <c r="J23">
        <v>2</v>
      </c>
      <c r="K23">
        <v>3</v>
      </c>
      <c r="L23" t="s">
        <v>37</v>
      </c>
      <c r="M23" t="s">
        <v>37</v>
      </c>
      <c r="N23" t="s">
        <v>37</v>
      </c>
      <c r="O23" t="s">
        <v>38</v>
      </c>
      <c r="P23" t="s">
        <v>112</v>
      </c>
      <c r="Q23" t="s">
        <v>113</v>
      </c>
      <c r="R23">
        <v>2018</v>
      </c>
      <c r="S23">
        <v>12</v>
      </c>
      <c r="T23">
        <v>6</v>
      </c>
    </row>
    <row r="24" spans="1:20" x14ac:dyDescent="0.3">
      <c r="A24" t="s">
        <v>20</v>
      </c>
      <c r="B24" s="1">
        <v>43438</v>
      </c>
      <c r="C24" t="s">
        <v>34</v>
      </c>
      <c r="D24" t="s">
        <v>91</v>
      </c>
      <c r="E24" t="s">
        <v>42</v>
      </c>
      <c r="F24">
        <v>2</v>
      </c>
      <c r="G24">
        <v>4</v>
      </c>
      <c r="H24">
        <v>2</v>
      </c>
      <c r="I24">
        <v>2</v>
      </c>
      <c r="J24">
        <v>1</v>
      </c>
      <c r="K24">
        <v>1</v>
      </c>
      <c r="L24" t="s">
        <v>24</v>
      </c>
      <c r="M24" t="s">
        <v>25</v>
      </c>
      <c r="N24" t="s">
        <v>72</v>
      </c>
      <c r="O24" t="s">
        <v>114</v>
      </c>
      <c r="P24" t="s">
        <v>115</v>
      </c>
      <c r="Q24" t="s">
        <v>116</v>
      </c>
      <c r="R24">
        <v>2018</v>
      </c>
      <c r="S24">
        <v>32</v>
      </c>
      <c r="T24">
        <v>363</v>
      </c>
    </row>
    <row r="25" spans="1:20" x14ac:dyDescent="0.3">
      <c r="A25" t="s">
        <v>20</v>
      </c>
      <c r="B25" s="1">
        <v>43445</v>
      </c>
      <c r="C25" t="s">
        <v>34</v>
      </c>
      <c r="D25" t="s">
        <v>76</v>
      </c>
      <c r="E25" t="s">
        <v>42</v>
      </c>
      <c r="F25">
        <v>5</v>
      </c>
      <c r="G25">
        <v>5</v>
      </c>
      <c r="H25">
        <v>5</v>
      </c>
      <c r="I25">
        <v>5</v>
      </c>
      <c r="J25">
        <v>5</v>
      </c>
      <c r="K25">
        <v>5</v>
      </c>
      <c r="L25" t="s">
        <v>37</v>
      </c>
      <c r="M25" t="s">
        <v>25</v>
      </c>
      <c r="N25" t="s">
        <v>37</v>
      </c>
      <c r="O25" t="s">
        <v>117</v>
      </c>
      <c r="P25" t="s">
        <v>118</v>
      </c>
      <c r="Q25" t="s">
        <v>119</v>
      </c>
      <c r="R25">
        <v>2018</v>
      </c>
      <c r="S25">
        <v>395</v>
      </c>
      <c r="T25">
        <v>32</v>
      </c>
    </row>
    <row r="26" spans="1:20" x14ac:dyDescent="0.3">
      <c r="A26" t="s">
        <v>20</v>
      </c>
      <c r="B26" s="1">
        <v>43530</v>
      </c>
      <c r="C26" t="s">
        <v>34</v>
      </c>
      <c r="D26" t="s">
        <v>91</v>
      </c>
      <c r="E26" t="s">
        <v>42</v>
      </c>
      <c r="F26">
        <v>3</v>
      </c>
      <c r="G26">
        <v>4</v>
      </c>
      <c r="H26">
        <v>5</v>
      </c>
      <c r="I26">
        <v>3</v>
      </c>
      <c r="J26">
        <v>4</v>
      </c>
      <c r="K26">
        <v>4</v>
      </c>
      <c r="L26" t="s">
        <v>37</v>
      </c>
      <c r="M26" t="s">
        <v>25</v>
      </c>
      <c r="N26" t="s">
        <v>37</v>
      </c>
      <c r="O26" t="s">
        <v>120</v>
      </c>
      <c r="P26" t="s">
        <v>121</v>
      </c>
      <c r="Q26" t="s">
        <v>122</v>
      </c>
      <c r="R26">
        <v>2019</v>
      </c>
      <c r="S26">
        <v>20</v>
      </c>
      <c r="T26">
        <v>19</v>
      </c>
    </row>
    <row r="27" spans="1:20" x14ac:dyDescent="0.3">
      <c r="A27" t="s">
        <v>20</v>
      </c>
      <c r="B27" s="1">
        <v>43676</v>
      </c>
      <c r="C27" t="s">
        <v>123</v>
      </c>
      <c r="D27" t="s">
        <v>124</v>
      </c>
      <c r="E27" t="s">
        <v>125</v>
      </c>
      <c r="F27">
        <v>1</v>
      </c>
      <c r="G27">
        <v>3</v>
      </c>
      <c r="H27">
        <v>1</v>
      </c>
      <c r="I27">
        <v>1</v>
      </c>
      <c r="J27">
        <v>1</v>
      </c>
      <c r="K27">
        <v>1</v>
      </c>
      <c r="L27" t="s">
        <v>24</v>
      </c>
      <c r="M27" t="s">
        <v>24</v>
      </c>
      <c r="N27" t="s">
        <v>26</v>
      </c>
      <c r="O27" t="s">
        <v>126</v>
      </c>
      <c r="P27" t="s">
        <v>127</v>
      </c>
      <c r="Q27" t="s">
        <v>128</v>
      </c>
      <c r="R27">
        <v>2019</v>
      </c>
      <c r="S27">
        <v>9</v>
      </c>
      <c r="T27">
        <v>93</v>
      </c>
    </row>
    <row r="28" spans="1:20" x14ac:dyDescent="0.3">
      <c r="A28" t="s">
        <v>20</v>
      </c>
      <c r="B28" s="1">
        <v>43685</v>
      </c>
      <c r="C28" t="s">
        <v>70</v>
      </c>
      <c r="D28" t="s">
        <v>30</v>
      </c>
      <c r="E28" t="s">
        <v>23</v>
      </c>
      <c r="F28">
        <v>4</v>
      </c>
      <c r="G28">
        <v>4</v>
      </c>
      <c r="H28">
        <v>5</v>
      </c>
      <c r="I28">
        <v>3</v>
      </c>
      <c r="J28">
        <v>3</v>
      </c>
      <c r="K28">
        <v>5</v>
      </c>
      <c r="L28" t="s">
        <v>37</v>
      </c>
      <c r="M28" t="s">
        <v>25</v>
      </c>
      <c r="N28" t="s">
        <v>37</v>
      </c>
      <c r="O28" t="s">
        <v>129</v>
      </c>
      <c r="P28" t="s">
        <v>130</v>
      </c>
      <c r="Q28" t="s">
        <v>131</v>
      </c>
      <c r="R28">
        <v>2019</v>
      </c>
      <c r="S28">
        <v>6</v>
      </c>
      <c r="T28">
        <v>16</v>
      </c>
    </row>
    <row r="29" spans="1:20" x14ac:dyDescent="0.3">
      <c r="A29" t="s">
        <v>20</v>
      </c>
      <c r="B29" s="1">
        <v>43692</v>
      </c>
      <c r="C29" t="s">
        <v>132</v>
      </c>
      <c r="D29" t="s">
        <v>30</v>
      </c>
      <c r="E29" t="s">
        <v>23</v>
      </c>
      <c r="F29">
        <v>5</v>
      </c>
      <c r="G29">
        <v>5</v>
      </c>
      <c r="H29">
        <v>5</v>
      </c>
      <c r="I29">
        <v>5</v>
      </c>
      <c r="J29">
        <v>4</v>
      </c>
      <c r="K29">
        <v>5</v>
      </c>
      <c r="L29" t="s">
        <v>37</v>
      </c>
      <c r="M29" t="s">
        <v>25</v>
      </c>
      <c r="N29" t="s">
        <v>37</v>
      </c>
      <c r="O29" t="s">
        <v>133</v>
      </c>
      <c r="P29" t="s">
        <v>134</v>
      </c>
      <c r="Q29" t="s">
        <v>135</v>
      </c>
      <c r="R29">
        <v>2019</v>
      </c>
      <c r="S29">
        <v>120</v>
      </c>
      <c r="T29">
        <v>5</v>
      </c>
    </row>
    <row r="30" spans="1:20" x14ac:dyDescent="0.3">
      <c r="A30" t="s">
        <v>20</v>
      </c>
      <c r="B30" s="1">
        <v>43720</v>
      </c>
      <c r="C30" t="s">
        <v>136</v>
      </c>
      <c r="D30" t="s">
        <v>30</v>
      </c>
      <c r="E30" t="s">
        <v>23</v>
      </c>
      <c r="F30">
        <v>5</v>
      </c>
      <c r="G30">
        <v>5</v>
      </c>
      <c r="H30">
        <v>5</v>
      </c>
      <c r="I30">
        <v>5</v>
      </c>
      <c r="J30">
        <v>5</v>
      </c>
      <c r="K30">
        <v>5</v>
      </c>
      <c r="L30" t="s">
        <v>37</v>
      </c>
      <c r="M30" t="s">
        <v>25</v>
      </c>
      <c r="N30" t="s">
        <v>37</v>
      </c>
      <c r="O30" t="s">
        <v>137</v>
      </c>
      <c r="P30" t="s">
        <v>138</v>
      </c>
      <c r="Q30" t="s">
        <v>139</v>
      </c>
      <c r="R30">
        <v>2019</v>
      </c>
      <c r="S30">
        <v>137</v>
      </c>
      <c r="T30">
        <v>5</v>
      </c>
    </row>
    <row r="31" spans="1:20" x14ac:dyDescent="0.3">
      <c r="A31" t="s">
        <v>20</v>
      </c>
      <c r="B31" s="1">
        <v>43777</v>
      </c>
      <c r="C31" t="s">
        <v>140</v>
      </c>
      <c r="D31" t="s">
        <v>47</v>
      </c>
      <c r="E31" t="s">
        <v>42</v>
      </c>
      <c r="F31">
        <v>5</v>
      </c>
      <c r="G31">
        <v>4</v>
      </c>
      <c r="H31">
        <v>5</v>
      </c>
      <c r="I31">
        <v>3</v>
      </c>
      <c r="J31">
        <v>4</v>
      </c>
      <c r="K31">
        <v>5</v>
      </c>
      <c r="L31" t="s">
        <v>37</v>
      </c>
      <c r="M31" t="s">
        <v>25</v>
      </c>
      <c r="N31" t="s">
        <v>72</v>
      </c>
      <c r="O31" t="s">
        <v>86</v>
      </c>
      <c r="P31" t="s">
        <v>141</v>
      </c>
      <c r="Q31" t="s">
        <v>142</v>
      </c>
      <c r="R31">
        <v>2019</v>
      </c>
      <c r="S31">
        <v>8</v>
      </c>
      <c r="T31">
        <v>7</v>
      </c>
    </row>
    <row r="32" spans="1:20" x14ac:dyDescent="0.3">
      <c r="A32" t="s">
        <v>20</v>
      </c>
      <c r="B32" s="1">
        <v>43779</v>
      </c>
      <c r="C32" t="s">
        <v>143</v>
      </c>
      <c r="D32" t="s">
        <v>91</v>
      </c>
      <c r="E32" t="s">
        <v>42</v>
      </c>
      <c r="F32">
        <v>2</v>
      </c>
      <c r="G32">
        <v>4</v>
      </c>
      <c r="H32">
        <v>4</v>
      </c>
      <c r="I32">
        <v>4</v>
      </c>
      <c r="J32">
        <v>4</v>
      </c>
      <c r="K32">
        <v>3</v>
      </c>
      <c r="L32" t="s">
        <v>25</v>
      </c>
      <c r="M32" t="s">
        <v>25</v>
      </c>
      <c r="N32" t="s">
        <v>72</v>
      </c>
      <c r="O32" t="s">
        <v>144</v>
      </c>
      <c r="P32" t="s">
        <v>145</v>
      </c>
      <c r="Q32" t="s">
        <v>146</v>
      </c>
      <c r="R32">
        <v>2019</v>
      </c>
      <c r="S32">
        <v>6</v>
      </c>
      <c r="T32">
        <v>4</v>
      </c>
    </row>
    <row r="33" spans="1:20" x14ac:dyDescent="0.3">
      <c r="A33" t="s">
        <v>20</v>
      </c>
      <c r="B33" s="1">
        <v>43802</v>
      </c>
      <c r="C33" t="s">
        <v>97</v>
      </c>
      <c r="D33" t="s">
        <v>30</v>
      </c>
      <c r="E33" t="s">
        <v>23</v>
      </c>
      <c r="F33">
        <v>5</v>
      </c>
      <c r="G33">
        <v>5</v>
      </c>
      <c r="H33">
        <v>5</v>
      </c>
      <c r="I33">
        <v>5</v>
      </c>
      <c r="J33">
        <v>5</v>
      </c>
      <c r="K33">
        <v>5</v>
      </c>
      <c r="L33" t="s">
        <v>37</v>
      </c>
      <c r="M33" t="s">
        <v>25</v>
      </c>
      <c r="N33" t="s">
        <v>37</v>
      </c>
      <c r="O33" t="s">
        <v>147</v>
      </c>
      <c r="P33" t="s">
        <v>148</v>
      </c>
      <c r="Q33" t="s">
        <v>149</v>
      </c>
      <c r="R33">
        <v>2019</v>
      </c>
      <c r="S33">
        <v>48</v>
      </c>
      <c r="T33">
        <v>5</v>
      </c>
    </row>
    <row r="34" spans="1:20" x14ac:dyDescent="0.3">
      <c r="A34" t="s">
        <v>20</v>
      </c>
      <c r="B34" s="1">
        <v>43809</v>
      </c>
      <c r="C34" t="s">
        <v>150</v>
      </c>
      <c r="D34" t="s">
        <v>41</v>
      </c>
      <c r="E34" t="s">
        <v>23</v>
      </c>
      <c r="F34">
        <v>1</v>
      </c>
      <c r="G34">
        <v>4</v>
      </c>
      <c r="H34">
        <v>1</v>
      </c>
      <c r="I34">
        <v>4</v>
      </c>
      <c r="J34">
        <v>4</v>
      </c>
      <c r="K34">
        <v>1</v>
      </c>
      <c r="L34" t="s">
        <v>24</v>
      </c>
      <c r="M34" t="s">
        <v>25</v>
      </c>
      <c r="N34" t="s">
        <v>72</v>
      </c>
      <c r="O34" t="s">
        <v>151</v>
      </c>
      <c r="P34" t="s">
        <v>152</v>
      </c>
      <c r="Q34" t="s">
        <v>153</v>
      </c>
      <c r="R34">
        <v>2019</v>
      </c>
      <c r="S34">
        <v>15</v>
      </c>
      <c r="T34">
        <v>90</v>
      </c>
    </row>
    <row r="35" spans="1:20" x14ac:dyDescent="0.3">
      <c r="A35" t="s">
        <v>20</v>
      </c>
      <c r="B35" s="1">
        <v>43837</v>
      </c>
      <c r="C35" t="s">
        <v>70</v>
      </c>
      <c r="D35" t="s">
        <v>91</v>
      </c>
      <c r="E35" t="s">
        <v>42</v>
      </c>
      <c r="F35">
        <v>1</v>
      </c>
      <c r="G35">
        <v>4</v>
      </c>
      <c r="H35">
        <v>4</v>
      </c>
      <c r="I35">
        <v>4</v>
      </c>
      <c r="J35">
        <v>4</v>
      </c>
      <c r="K35">
        <v>3</v>
      </c>
      <c r="L35" t="s">
        <v>24</v>
      </c>
      <c r="M35" t="s">
        <v>25</v>
      </c>
      <c r="N35" t="s">
        <v>72</v>
      </c>
      <c r="O35" t="s">
        <v>154</v>
      </c>
      <c r="P35" t="s">
        <v>155</v>
      </c>
      <c r="Q35" t="s">
        <v>156</v>
      </c>
      <c r="R35">
        <v>2020</v>
      </c>
      <c r="S35">
        <v>5</v>
      </c>
      <c r="T35">
        <v>31</v>
      </c>
    </row>
    <row r="36" spans="1:20" x14ac:dyDescent="0.3">
      <c r="A36" t="s">
        <v>20</v>
      </c>
      <c r="B36" s="1">
        <v>43850</v>
      </c>
      <c r="C36" t="s">
        <v>157</v>
      </c>
      <c r="D36" t="s">
        <v>71</v>
      </c>
      <c r="E36" t="s">
        <v>23</v>
      </c>
      <c r="F36">
        <v>5</v>
      </c>
      <c r="G36">
        <v>5</v>
      </c>
      <c r="H36">
        <v>5</v>
      </c>
      <c r="I36">
        <v>5</v>
      </c>
      <c r="J36">
        <v>5</v>
      </c>
      <c r="K36">
        <v>2</v>
      </c>
      <c r="L36" t="s">
        <v>37</v>
      </c>
      <c r="M36" t="s">
        <v>25</v>
      </c>
      <c r="N36" t="s">
        <v>37</v>
      </c>
      <c r="O36" t="s">
        <v>158</v>
      </c>
      <c r="P36" t="s">
        <v>159</v>
      </c>
      <c r="Q36" t="s">
        <v>160</v>
      </c>
      <c r="R36">
        <v>2020</v>
      </c>
      <c r="S36">
        <v>22</v>
      </c>
      <c r="T36">
        <v>20</v>
      </c>
    </row>
    <row r="37" spans="1:20" x14ac:dyDescent="0.3">
      <c r="A37" t="s">
        <v>20</v>
      </c>
      <c r="B37" s="1">
        <v>43881</v>
      </c>
      <c r="C37" t="s">
        <v>70</v>
      </c>
      <c r="D37" t="s">
        <v>76</v>
      </c>
      <c r="E37" t="s">
        <v>42</v>
      </c>
      <c r="F37">
        <v>5</v>
      </c>
      <c r="G37">
        <v>5</v>
      </c>
      <c r="H37">
        <v>5</v>
      </c>
      <c r="I37">
        <v>5</v>
      </c>
      <c r="J37">
        <v>5</v>
      </c>
      <c r="K37">
        <v>4</v>
      </c>
      <c r="L37" t="s">
        <v>37</v>
      </c>
      <c r="M37" t="s">
        <v>25</v>
      </c>
      <c r="N37" t="s">
        <v>37</v>
      </c>
      <c r="O37" t="s">
        <v>161</v>
      </c>
      <c r="P37" t="s">
        <v>162</v>
      </c>
      <c r="Q37" t="s">
        <v>163</v>
      </c>
      <c r="R37">
        <v>2020</v>
      </c>
      <c r="S37">
        <v>19</v>
      </c>
      <c r="T37">
        <v>15</v>
      </c>
    </row>
    <row r="38" spans="1:20" x14ac:dyDescent="0.3">
      <c r="A38" t="s">
        <v>20</v>
      </c>
      <c r="B38" s="1">
        <v>43890</v>
      </c>
      <c r="C38" t="s">
        <v>164</v>
      </c>
      <c r="D38" t="s">
        <v>30</v>
      </c>
      <c r="E38" t="s">
        <v>42</v>
      </c>
      <c r="F38">
        <v>2</v>
      </c>
      <c r="G38">
        <v>3</v>
      </c>
      <c r="H38">
        <v>2</v>
      </c>
      <c r="I38">
        <v>2</v>
      </c>
      <c r="J38">
        <v>1</v>
      </c>
      <c r="K38">
        <v>1</v>
      </c>
      <c r="L38" t="s">
        <v>24</v>
      </c>
      <c r="M38" t="s">
        <v>37</v>
      </c>
      <c r="N38" t="s">
        <v>26</v>
      </c>
      <c r="O38" t="s">
        <v>165</v>
      </c>
      <c r="P38" t="s">
        <v>166</v>
      </c>
      <c r="Q38" t="s">
        <v>167</v>
      </c>
      <c r="R38">
        <v>2020</v>
      </c>
      <c r="S38">
        <v>13</v>
      </c>
      <c r="T38">
        <v>30</v>
      </c>
    </row>
    <row r="39" spans="1:20" x14ac:dyDescent="0.3">
      <c r="A39" t="s">
        <v>20</v>
      </c>
      <c r="B39" s="1">
        <v>43987</v>
      </c>
      <c r="C39" t="s">
        <v>168</v>
      </c>
      <c r="D39" t="s">
        <v>71</v>
      </c>
      <c r="E39" t="s">
        <v>23</v>
      </c>
      <c r="F39">
        <v>2</v>
      </c>
      <c r="G39">
        <v>4</v>
      </c>
      <c r="H39">
        <v>4</v>
      </c>
      <c r="I39">
        <v>4</v>
      </c>
      <c r="J39">
        <v>4</v>
      </c>
      <c r="K39">
        <v>3</v>
      </c>
      <c r="L39" t="s">
        <v>25</v>
      </c>
      <c r="M39" t="s">
        <v>25</v>
      </c>
      <c r="N39" t="s">
        <v>72</v>
      </c>
      <c r="O39" t="s">
        <v>169</v>
      </c>
      <c r="P39" t="s">
        <v>170</v>
      </c>
      <c r="Q39" t="s">
        <v>171</v>
      </c>
      <c r="R39">
        <v>2020</v>
      </c>
      <c r="S39">
        <v>37</v>
      </c>
      <c r="T39">
        <v>45</v>
      </c>
    </row>
    <row r="40" spans="1:20" x14ac:dyDescent="0.3">
      <c r="A40" t="s">
        <v>20</v>
      </c>
      <c r="B40" s="1">
        <v>43990</v>
      </c>
      <c r="C40" t="s">
        <v>34</v>
      </c>
      <c r="D40" t="s">
        <v>124</v>
      </c>
      <c r="E40" t="s">
        <v>23</v>
      </c>
      <c r="F40">
        <v>1</v>
      </c>
      <c r="G40">
        <v>3</v>
      </c>
      <c r="H40">
        <v>1</v>
      </c>
      <c r="I40">
        <v>1</v>
      </c>
      <c r="J40">
        <v>1</v>
      </c>
      <c r="K40">
        <v>1</v>
      </c>
      <c r="L40" t="s">
        <v>24</v>
      </c>
      <c r="M40" t="s">
        <v>25</v>
      </c>
      <c r="N40" t="s">
        <v>26</v>
      </c>
      <c r="O40" t="s">
        <v>172</v>
      </c>
      <c r="P40" t="s">
        <v>173</v>
      </c>
      <c r="Q40" t="s">
        <v>174</v>
      </c>
      <c r="R40">
        <v>2020</v>
      </c>
      <c r="S40">
        <v>25</v>
      </c>
      <c r="T40">
        <v>46</v>
      </c>
    </row>
    <row r="41" spans="1:20" x14ac:dyDescent="0.3">
      <c r="A41" t="s">
        <v>20</v>
      </c>
      <c r="B41" s="1">
        <v>44105</v>
      </c>
      <c r="C41" t="s">
        <v>21</v>
      </c>
      <c r="D41" t="s">
        <v>47</v>
      </c>
      <c r="E41" t="s">
        <v>23</v>
      </c>
      <c r="F41">
        <v>2</v>
      </c>
      <c r="G41">
        <v>1</v>
      </c>
      <c r="H41">
        <v>3</v>
      </c>
      <c r="I41">
        <v>1</v>
      </c>
      <c r="J41">
        <v>2</v>
      </c>
      <c r="K41">
        <v>2</v>
      </c>
      <c r="L41" t="s">
        <v>24</v>
      </c>
      <c r="M41" t="s">
        <v>25</v>
      </c>
      <c r="N41" t="s">
        <v>26</v>
      </c>
      <c r="O41" t="s">
        <v>175</v>
      </c>
      <c r="P41" t="s">
        <v>176</v>
      </c>
      <c r="Q41" t="s">
        <v>177</v>
      </c>
      <c r="R41">
        <v>2020</v>
      </c>
      <c r="S41">
        <v>8</v>
      </c>
      <c r="T41">
        <v>27</v>
      </c>
    </row>
    <row r="42" spans="1:20" x14ac:dyDescent="0.3">
      <c r="A42" t="s">
        <v>20</v>
      </c>
      <c r="B42" s="1">
        <v>44232</v>
      </c>
      <c r="C42" t="s">
        <v>178</v>
      </c>
      <c r="D42" t="s">
        <v>91</v>
      </c>
      <c r="E42" t="s">
        <v>66</v>
      </c>
      <c r="F42">
        <v>1</v>
      </c>
      <c r="G42">
        <v>3</v>
      </c>
      <c r="H42">
        <v>1</v>
      </c>
      <c r="I42">
        <v>1</v>
      </c>
      <c r="J42">
        <v>1</v>
      </c>
      <c r="K42">
        <v>1</v>
      </c>
      <c r="L42" t="s">
        <v>24</v>
      </c>
      <c r="M42" t="s">
        <v>25</v>
      </c>
      <c r="N42" t="s">
        <v>72</v>
      </c>
      <c r="O42" t="s">
        <v>179</v>
      </c>
      <c r="P42" t="s">
        <v>180</v>
      </c>
      <c r="Q42" t="s">
        <v>181</v>
      </c>
      <c r="R42">
        <v>2021</v>
      </c>
      <c r="S42">
        <v>13</v>
      </c>
      <c r="T42">
        <v>72</v>
      </c>
    </row>
    <row r="43" spans="1:20" x14ac:dyDescent="0.3">
      <c r="A43" t="s">
        <v>20</v>
      </c>
      <c r="B43" s="1">
        <v>44234</v>
      </c>
      <c r="C43" t="s">
        <v>143</v>
      </c>
      <c r="D43" t="s">
        <v>124</v>
      </c>
      <c r="E43" t="s">
        <v>23</v>
      </c>
      <c r="F43">
        <v>4</v>
      </c>
      <c r="G43">
        <v>3</v>
      </c>
      <c r="H43">
        <v>3</v>
      </c>
      <c r="I43">
        <v>4</v>
      </c>
      <c r="J43">
        <v>4</v>
      </c>
      <c r="K43">
        <v>2</v>
      </c>
      <c r="L43" t="s">
        <v>37</v>
      </c>
      <c r="M43" t="s">
        <v>25</v>
      </c>
      <c r="N43" t="s">
        <v>37</v>
      </c>
      <c r="O43" t="s">
        <v>182</v>
      </c>
      <c r="P43" t="s">
        <v>183</v>
      </c>
      <c r="Q43" t="s">
        <v>184</v>
      </c>
      <c r="R43">
        <v>2021</v>
      </c>
      <c r="S43">
        <v>7</v>
      </c>
      <c r="T43">
        <v>6</v>
      </c>
    </row>
    <row r="44" spans="1:20" x14ac:dyDescent="0.3">
      <c r="A44" t="s">
        <v>20</v>
      </c>
      <c r="B44" s="1">
        <v>44234</v>
      </c>
      <c r="C44" t="s">
        <v>185</v>
      </c>
      <c r="D44" t="s">
        <v>41</v>
      </c>
      <c r="E44" t="s">
        <v>66</v>
      </c>
      <c r="F44">
        <v>3</v>
      </c>
      <c r="G44">
        <v>5</v>
      </c>
      <c r="H44">
        <v>5</v>
      </c>
      <c r="I44">
        <v>3</v>
      </c>
      <c r="J44">
        <v>1</v>
      </c>
      <c r="K44">
        <v>2</v>
      </c>
      <c r="L44" t="s">
        <v>24</v>
      </c>
      <c r="M44" t="s">
        <v>25</v>
      </c>
      <c r="N44" t="s">
        <v>37</v>
      </c>
      <c r="O44" t="s">
        <v>186</v>
      </c>
      <c r="P44" t="e">
        <f>-Great People -Heading in a good direction generally</f>
        <v>#NAME?</v>
      </c>
      <c r="Q44" t="e">
        <f>-Low Salary -Middle Management likes to micro Manage  -Staff Retention in Investment Admin team very Low</f>
        <v>#NAME?</v>
      </c>
      <c r="R44">
        <v>2021</v>
      </c>
      <c r="S44">
        <v>8</v>
      </c>
      <c r="T44">
        <v>16</v>
      </c>
    </row>
    <row r="45" spans="1:20" x14ac:dyDescent="0.3">
      <c r="A45" t="s">
        <v>20</v>
      </c>
      <c r="B45" s="1">
        <v>44251</v>
      </c>
      <c r="C45" t="s">
        <v>97</v>
      </c>
      <c r="D45" t="s">
        <v>41</v>
      </c>
      <c r="E45" t="s">
        <v>66</v>
      </c>
      <c r="F45">
        <v>3</v>
      </c>
      <c r="G45">
        <v>4</v>
      </c>
      <c r="H45">
        <v>4</v>
      </c>
      <c r="I45">
        <v>4</v>
      </c>
      <c r="J45">
        <v>4</v>
      </c>
      <c r="K45">
        <v>3</v>
      </c>
      <c r="L45" t="s">
        <v>25</v>
      </c>
      <c r="M45" t="s">
        <v>25</v>
      </c>
      <c r="N45" t="s">
        <v>72</v>
      </c>
      <c r="O45" t="s">
        <v>187</v>
      </c>
      <c r="P45" t="s">
        <v>188</v>
      </c>
      <c r="Q45" t="s">
        <v>189</v>
      </c>
      <c r="R45">
        <v>2021</v>
      </c>
      <c r="S45">
        <v>14</v>
      </c>
      <c r="T45">
        <v>13</v>
      </c>
    </row>
    <row r="46" spans="1:20" x14ac:dyDescent="0.3">
      <c r="A46" t="s">
        <v>20</v>
      </c>
      <c r="B46" s="1">
        <v>44300</v>
      </c>
      <c r="C46" t="s">
        <v>34</v>
      </c>
      <c r="D46" t="s">
        <v>71</v>
      </c>
      <c r="E46" t="s">
        <v>42</v>
      </c>
      <c r="F46">
        <v>3</v>
      </c>
      <c r="G46">
        <v>4</v>
      </c>
      <c r="H46">
        <v>4</v>
      </c>
      <c r="I46">
        <v>4</v>
      </c>
      <c r="J46">
        <v>4</v>
      </c>
      <c r="K46">
        <v>3</v>
      </c>
      <c r="L46" t="s">
        <v>25</v>
      </c>
      <c r="M46" t="s">
        <v>25</v>
      </c>
      <c r="N46" t="s">
        <v>72</v>
      </c>
      <c r="O46" t="s">
        <v>190</v>
      </c>
      <c r="P46" t="s">
        <v>191</v>
      </c>
      <c r="Q46" t="s">
        <v>192</v>
      </c>
      <c r="R46">
        <v>2021</v>
      </c>
      <c r="S46">
        <v>56</v>
      </c>
      <c r="T46">
        <v>15</v>
      </c>
    </row>
    <row r="47" spans="1:20" x14ac:dyDescent="0.3">
      <c r="A47" t="s">
        <v>20</v>
      </c>
      <c r="B47" s="1">
        <v>44303</v>
      </c>
      <c r="C47" t="s">
        <v>193</v>
      </c>
      <c r="D47" t="s">
        <v>71</v>
      </c>
      <c r="E47" t="s">
        <v>42</v>
      </c>
      <c r="F47">
        <v>5</v>
      </c>
      <c r="G47">
        <v>5</v>
      </c>
      <c r="H47">
        <v>5</v>
      </c>
      <c r="I47">
        <v>5</v>
      </c>
      <c r="J47">
        <v>5</v>
      </c>
      <c r="K47">
        <v>5</v>
      </c>
      <c r="L47" t="s">
        <v>37</v>
      </c>
      <c r="M47" t="s">
        <v>25</v>
      </c>
      <c r="N47" t="s">
        <v>37</v>
      </c>
      <c r="O47" t="s">
        <v>194</v>
      </c>
      <c r="P47" t="s">
        <v>195</v>
      </c>
      <c r="Q47" t="s">
        <v>196</v>
      </c>
      <c r="R47">
        <v>2021</v>
      </c>
      <c r="S47">
        <v>28</v>
      </c>
      <c r="T47">
        <v>23</v>
      </c>
    </row>
    <row r="48" spans="1:20" x14ac:dyDescent="0.3">
      <c r="A48" t="s">
        <v>20</v>
      </c>
      <c r="B48" s="1">
        <v>44324</v>
      </c>
      <c r="C48" t="s">
        <v>197</v>
      </c>
      <c r="D48" t="s">
        <v>124</v>
      </c>
      <c r="E48" t="s">
        <v>66</v>
      </c>
      <c r="F48">
        <v>1</v>
      </c>
      <c r="G48">
        <v>1</v>
      </c>
      <c r="H48">
        <v>1</v>
      </c>
      <c r="I48">
        <v>1</v>
      </c>
      <c r="J48">
        <v>1</v>
      </c>
      <c r="K48">
        <v>1</v>
      </c>
      <c r="L48" t="s">
        <v>24</v>
      </c>
      <c r="M48" t="s">
        <v>24</v>
      </c>
      <c r="N48" t="s">
        <v>26</v>
      </c>
      <c r="O48" t="s">
        <v>198</v>
      </c>
      <c r="P48" t="s">
        <v>199</v>
      </c>
      <c r="Q48" t="s">
        <v>200</v>
      </c>
      <c r="R48">
        <v>2021</v>
      </c>
      <c r="S48">
        <v>7</v>
      </c>
      <c r="T48">
        <v>104</v>
      </c>
    </row>
    <row r="49" spans="1:20" x14ac:dyDescent="0.3">
      <c r="A49" t="s">
        <v>20</v>
      </c>
      <c r="B49" s="1">
        <v>44328</v>
      </c>
      <c r="C49" t="s">
        <v>201</v>
      </c>
      <c r="D49" t="s">
        <v>124</v>
      </c>
      <c r="E49" t="s">
        <v>66</v>
      </c>
      <c r="F49">
        <v>1</v>
      </c>
      <c r="G49">
        <v>1</v>
      </c>
      <c r="H49">
        <v>2</v>
      </c>
      <c r="I49">
        <v>1</v>
      </c>
      <c r="J49">
        <v>1</v>
      </c>
      <c r="K49">
        <v>1</v>
      </c>
      <c r="L49" t="s">
        <v>24</v>
      </c>
      <c r="M49" t="s">
        <v>24</v>
      </c>
      <c r="N49" t="s">
        <v>26</v>
      </c>
      <c r="O49" t="s">
        <v>202</v>
      </c>
      <c r="P49" t="s">
        <v>203</v>
      </c>
      <c r="Q49" t="s">
        <v>204</v>
      </c>
      <c r="R49">
        <v>2021</v>
      </c>
      <c r="S49">
        <v>10</v>
      </c>
      <c r="T49">
        <v>80</v>
      </c>
    </row>
    <row r="50" spans="1:20" x14ac:dyDescent="0.3">
      <c r="A50" t="s">
        <v>20</v>
      </c>
      <c r="B50" s="1">
        <v>44329</v>
      </c>
      <c r="C50" t="s">
        <v>205</v>
      </c>
      <c r="D50" t="s">
        <v>41</v>
      </c>
      <c r="E50" t="s">
        <v>206</v>
      </c>
      <c r="F50">
        <v>5</v>
      </c>
      <c r="G50">
        <v>5</v>
      </c>
      <c r="H50">
        <v>5</v>
      </c>
      <c r="I50">
        <v>5</v>
      </c>
      <c r="J50">
        <v>4</v>
      </c>
      <c r="K50">
        <v>5</v>
      </c>
      <c r="L50" t="s">
        <v>25</v>
      </c>
      <c r="M50" t="s">
        <v>25</v>
      </c>
      <c r="N50" t="s">
        <v>72</v>
      </c>
      <c r="O50" t="s">
        <v>207</v>
      </c>
      <c r="P50" t="s">
        <v>208</v>
      </c>
      <c r="Q50" t="s">
        <v>209</v>
      </c>
      <c r="R50">
        <v>2021</v>
      </c>
      <c r="S50">
        <v>5</v>
      </c>
      <c r="T50">
        <v>5</v>
      </c>
    </row>
    <row r="51" spans="1:20" x14ac:dyDescent="0.3">
      <c r="A51" t="s">
        <v>210</v>
      </c>
      <c r="B51" s="1">
        <v>42176</v>
      </c>
      <c r="C51" t="s">
        <v>211</v>
      </c>
      <c r="D51" t="s">
        <v>47</v>
      </c>
      <c r="E51" t="s">
        <v>212</v>
      </c>
      <c r="F51">
        <v>4</v>
      </c>
      <c r="G51">
        <v>5</v>
      </c>
      <c r="H51">
        <v>3</v>
      </c>
      <c r="I51">
        <v>2</v>
      </c>
      <c r="J51">
        <v>4</v>
      </c>
      <c r="K51">
        <v>4</v>
      </c>
      <c r="L51" t="s">
        <v>37</v>
      </c>
      <c r="M51" t="s">
        <v>37</v>
      </c>
      <c r="N51" t="s">
        <v>37</v>
      </c>
      <c r="O51" t="s">
        <v>213</v>
      </c>
      <c r="P51" t="s">
        <v>214</v>
      </c>
      <c r="Q51" t="s">
        <v>215</v>
      </c>
      <c r="R51">
        <v>2015</v>
      </c>
      <c r="S51">
        <v>36</v>
      </c>
      <c r="T51">
        <v>38</v>
      </c>
    </row>
    <row r="52" spans="1:20" x14ac:dyDescent="0.3">
      <c r="A52" t="s">
        <v>210</v>
      </c>
      <c r="B52" s="1">
        <v>42186</v>
      </c>
      <c r="C52" t="s">
        <v>42</v>
      </c>
      <c r="D52" t="s">
        <v>47</v>
      </c>
      <c r="E52" t="s">
        <v>42</v>
      </c>
      <c r="F52">
        <v>3</v>
      </c>
      <c r="G52">
        <v>4</v>
      </c>
      <c r="H52">
        <v>1</v>
      </c>
      <c r="I52">
        <v>2</v>
      </c>
      <c r="J52">
        <v>2</v>
      </c>
      <c r="K52">
        <v>2</v>
      </c>
      <c r="L52" t="s">
        <v>24</v>
      </c>
      <c r="M52" t="s">
        <v>37</v>
      </c>
      <c r="N52" t="s">
        <v>26</v>
      </c>
      <c r="O52" t="s">
        <v>216</v>
      </c>
      <c r="P52" t="s">
        <v>217</v>
      </c>
      <c r="Q52" t="s">
        <v>218</v>
      </c>
      <c r="R52">
        <v>2015</v>
      </c>
      <c r="S52">
        <v>7</v>
      </c>
      <c r="T52">
        <v>18</v>
      </c>
    </row>
    <row r="53" spans="1:20" x14ac:dyDescent="0.3">
      <c r="A53" t="s">
        <v>210</v>
      </c>
      <c r="B53" s="1">
        <v>42272</v>
      </c>
      <c r="C53" t="s">
        <v>219</v>
      </c>
      <c r="D53" t="s">
        <v>30</v>
      </c>
      <c r="E53" t="s">
        <v>212</v>
      </c>
      <c r="F53">
        <v>3</v>
      </c>
      <c r="G53">
        <v>4</v>
      </c>
      <c r="H53">
        <v>4</v>
      </c>
      <c r="I53">
        <v>3</v>
      </c>
      <c r="J53">
        <v>3</v>
      </c>
      <c r="K53">
        <v>3</v>
      </c>
      <c r="L53" t="s">
        <v>37</v>
      </c>
      <c r="M53" t="s">
        <v>24</v>
      </c>
      <c r="N53" t="s">
        <v>26</v>
      </c>
      <c r="O53" t="s">
        <v>220</v>
      </c>
      <c r="P53" t="s">
        <v>221</v>
      </c>
      <c r="Q53" t="s">
        <v>222</v>
      </c>
      <c r="R53">
        <v>2015</v>
      </c>
      <c r="S53">
        <v>19</v>
      </c>
      <c r="T53">
        <v>25</v>
      </c>
    </row>
    <row r="54" spans="1:20" x14ac:dyDescent="0.3">
      <c r="A54" t="s">
        <v>210</v>
      </c>
      <c r="B54" s="1">
        <v>42342</v>
      </c>
      <c r="C54" t="s">
        <v>223</v>
      </c>
      <c r="D54" t="s">
        <v>47</v>
      </c>
      <c r="E54" t="s">
        <v>212</v>
      </c>
      <c r="F54">
        <v>2</v>
      </c>
      <c r="G54">
        <v>5</v>
      </c>
      <c r="H54">
        <v>2</v>
      </c>
      <c r="I54">
        <v>2</v>
      </c>
      <c r="J54">
        <v>1</v>
      </c>
      <c r="K54">
        <v>1</v>
      </c>
      <c r="L54" t="s">
        <v>24</v>
      </c>
      <c r="M54" t="s">
        <v>24</v>
      </c>
      <c r="N54" t="s">
        <v>26</v>
      </c>
      <c r="O54" t="s">
        <v>224</v>
      </c>
      <c r="P54" t="s">
        <v>225</v>
      </c>
      <c r="Q54" t="s">
        <v>226</v>
      </c>
      <c r="R54">
        <v>2015</v>
      </c>
      <c r="S54">
        <v>31</v>
      </c>
      <c r="T54">
        <v>66</v>
      </c>
    </row>
    <row r="55" spans="1:20" x14ac:dyDescent="0.3">
      <c r="A55" t="s">
        <v>210</v>
      </c>
      <c r="B55" s="1">
        <v>42513</v>
      </c>
      <c r="C55" t="s">
        <v>42</v>
      </c>
      <c r="D55" t="s">
        <v>91</v>
      </c>
      <c r="E55" t="s">
        <v>42</v>
      </c>
      <c r="F55">
        <v>1</v>
      </c>
      <c r="G55">
        <v>4</v>
      </c>
      <c r="H55">
        <v>4</v>
      </c>
      <c r="I55">
        <v>4</v>
      </c>
      <c r="J55">
        <v>4</v>
      </c>
      <c r="K55">
        <v>3</v>
      </c>
      <c r="L55" t="s">
        <v>25</v>
      </c>
      <c r="M55" t="s">
        <v>25</v>
      </c>
      <c r="N55" t="s">
        <v>72</v>
      </c>
      <c r="O55" t="s">
        <v>227</v>
      </c>
      <c r="P55" t="s">
        <v>228</v>
      </c>
      <c r="Q55" t="s">
        <v>229</v>
      </c>
      <c r="R55">
        <v>2016</v>
      </c>
      <c r="S55">
        <v>61</v>
      </c>
      <c r="T55">
        <v>390</v>
      </c>
    </row>
    <row r="56" spans="1:20" x14ac:dyDescent="0.3">
      <c r="A56" t="s">
        <v>210</v>
      </c>
      <c r="B56" s="1">
        <v>42513</v>
      </c>
      <c r="C56" t="s">
        <v>34</v>
      </c>
      <c r="D56" t="s">
        <v>76</v>
      </c>
      <c r="E56" t="s">
        <v>42</v>
      </c>
      <c r="F56">
        <v>1</v>
      </c>
      <c r="G56">
        <v>4</v>
      </c>
      <c r="H56">
        <v>4</v>
      </c>
      <c r="I56">
        <v>4</v>
      </c>
      <c r="J56">
        <v>4</v>
      </c>
      <c r="K56">
        <v>3</v>
      </c>
      <c r="L56" t="s">
        <v>24</v>
      </c>
      <c r="M56" t="s">
        <v>24</v>
      </c>
      <c r="N56" t="s">
        <v>26</v>
      </c>
      <c r="O56" t="s">
        <v>230</v>
      </c>
      <c r="P56" t="s">
        <v>231</v>
      </c>
      <c r="Q56" t="s">
        <v>232</v>
      </c>
      <c r="R56">
        <v>2016</v>
      </c>
      <c r="S56">
        <v>16</v>
      </c>
      <c r="T56">
        <v>112</v>
      </c>
    </row>
    <row r="57" spans="1:20" x14ac:dyDescent="0.3">
      <c r="A57" t="s">
        <v>210</v>
      </c>
      <c r="B57" s="1">
        <v>42536</v>
      </c>
      <c r="C57" t="s">
        <v>34</v>
      </c>
      <c r="D57" t="s">
        <v>71</v>
      </c>
      <c r="E57" t="s">
        <v>42</v>
      </c>
      <c r="F57">
        <v>1</v>
      </c>
      <c r="G57">
        <v>3</v>
      </c>
      <c r="H57">
        <v>2</v>
      </c>
      <c r="I57">
        <v>1</v>
      </c>
      <c r="J57">
        <v>2</v>
      </c>
      <c r="K57">
        <v>1</v>
      </c>
      <c r="L57" t="s">
        <v>24</v>
      </c>
      <c r="M57" t="s">
        <v>24</v>
      </c>
      <c r="N57" t="s">
        <v>26</v>
      </c>
      <c r="O57" t="s">
        <v>233</v>
      </c>
      <c r="P57" t="s">
        <v>234</v>
      </c>
      <c r="Q57" t="s">
        <v>235</v>
      </c>
      <c r="R57">
        <v>2016</v>
      </c>
      <c r="S57">
        <v>29</v>
      </c>
      <c r="T57">
        <v>112</v>
      </c>
    </row>
    <row r="58" spans="1:20" x14ac:dyDescent="0.3">
      <c r="A58" t="s">
        <v>210</v>
      </c>
      <c r="B58" s="1">
        <v>42586</v>
      </c>
      <c r="C58" t="s">
        <v>42</v>
      </c>
      <c r="D58" t="s">
        <v>76</v>
      </c>
      <c r="E58" t="s">
        <v>42</v>
      </c>
      <c r="F58">
        <v>3</v>
      </c>
      <c r="G58">
        <v>3</v>
      </c>
      <c r="H58">
        <v>3</v>
      </c>
      <c r="I58">
        <v>3</v>
      </c>
      <c r="J58">
        <v>2</v>
      </c>
      <c r="K58">
        <v>2</v>
      </c>
      <c r="L58" t="s">
        <v>24</v>
      </c>
      <c r="M58" t="s">
        <v>37</v>
      </c>
      <c r="N58" t="s">
        <v>37</v>
      </c>
      <c r="O58" t="s">
        <v>219</v>
      </c>
      <c r="P58" t="s">
        <v>236</v>
      </c>
      <c r="Q58" t="s">
        <v>237</v>
      </c>
      <c r="R58">
        <v>2016</v>
      </c>
      <c r="S58">
        <v>19</v>
      </c>
      <c r="T58">
        <v>11</v>
      </c>
    </row>
    <row r="59" spans="1:20" x14ac:dyDescent="0.3">
      <c r="A59" t="s">
        <v>210</v>
      </c>
      <c r="B59" s="1">
        <v>42600</v>
      </c>
      <c r="C59" t="s">
        <v>34</v>
      </c>
      <c r="D59" t="s">
        <v>238</v>
      </c>
      <c r="E59" t="s">
        <v>212</v>
      </c>
      <c r="F59">
        <v>1</v>
      </c>
      <c r="G59">
        <v>1</v>
      </c>
      <c r="H59">
        <v>1</v>
      </c>
      <c r="I59">
        <v>1</v>
      </c>
      <c r="J59">
        <v>1</v>
      </c>
      <c r="K59">
        <v>1</v>
      </c>
      <c r="L59" t="s">
        <v>24</v>
      </c>
      <c r="M59" t="s">
        <v>37</v>
      </c>
      <c r="N59" t="s">
        <v>26</v>
      </c>
      <c r="O59" t="s">
        <v>211</v>
      </c>
      <c r="P59" t="s">
        <v>239</v>
      </c>
      <c r="Q59" t="s">
        <v>240</v>
      </c>
      <c r="R59">
        <v>2016</v>
      </c>
      <c r="S59">
        <v>21</v>
      </c>
      <c r="T59">
        <v>23</v>
      </c>
    </row>
    <row r="60" spans="1:20" x14ac:dyDescent="0.3">
      <c r="A60" t="s">
        <v>210</v>
      </c>
      <c r="B60" s="1">
        <v>42763</v>
      </c>
      <c r="C60" t="s">
        <v>241</v>
      </c>
      <c r="D60" t="s">
        <v>76</v>
      </c>
      <c r="E60" t="s">
        <v>212</v>
      </c>
      <c r="F60">
        <v>5</v>
      </c>
      <c r="G60">
        <v>4</v>
      </c>
      <c r="H60">
        <v>5</v>
      </c>
      <c r="I60">
        <v>5</v>
      </c>
      <c r="J60">
        <v>5</v>
      </c>
      <c r="K60">
        <v>5</v>
      </c>
      <c r="L60" t="s">
        <v>37</v>
      </c>
      <c r="M60" t="s">
        <v>37</v>
      </c>
      <c r="N60" t="s">
        <v>37</v>
      </c>
      <c r="O60" t="s">
        <v>242</v>
      </c>
      <c r="P60" t="s">
        <v>243</v>
      </c>
      <c r="Q60" t="s">
        <v>244</v>
      </c>
      <c r="R60">
        <v>2017</v>
      </c>
      <c r="S60">
        <v>51</v>
      </c>
      <c r="T60">
        <v>13</v>
      </c>
    </row>
    <row r="61" spans="1:20" x14ac:dyDescent="0.3">
      <c r="A61" t="s">
        <v>210</v>
      </c>
      <c r="B61" s="1">
        <v>42769</v>
      </c>
      <c r="C61" t="s">
        <v>34</v>
      </c>
      <c r="D61" t="s">
        <v>30</v>
      </c>
      <c r="E61" t="s">
        <v>245</v>
      </c>
      <c r="F61">
        <v>4</v>
      </c>
      <c r="G61">
        <v>4</v>
      </c>
      <c r="H61">
        <v>5</v>
      </c>
      <c r="I61">
        <v>5</v>
      </c>
      <c r="J61">
        <v>4</v>
      </c>
      <c r="K61">
        <v>4</v>
      </c>
      <c r="L61" t="s">
        <v>37</v>
      </c>
      <c r="M61" t="s">
        <v>37</v>
      </c>
      <c r="N61" t="s">
        <v>37</v>
      </c>
      <c r="O61" t="s">
        <v>246</v>
      </c>
      <c r="P61" t="s">
        <v>247</v>
      </c>
      <c r="Q61" t="s">
        <v>248</v>
      </c>
      <c r="R61">
        <v>2017</v>
      </c>
      <c r="S61">
        <v>13</v>
      </c>
      <c r="T61">
        <v>13</v>
      </c>
    </row>
    <row r="62" spans="1:20" x14ac:dyDescent="0.3">
      <c r="A62" t="s">
        <v>210</v>
      </c>
      <c r="B62" s="1">
        <v>42769</v>
      </c>
      <c r="C62" t="s">
        <v>249</v>
      </c>
      <c r="D62" t="s">
        <v>30</v>
      </c>
      <c r="E62" t="s">
        <v>245</v>
      </c>
      <c r="F62">
        <v>4</v>
      </c>
      <c r="G62">
        <v>4</v>
      </c>
      <c r="H62">
        <v>4</v>
      </c>
      <c r="I62">
        <v>5</v>
      </c>
      <c r="J62">
        <v>4</v>
      </c>
      <c r="K62">
        <v>5</v>
      </c>
      <c r="L62" t="s">
        <v>25</v>
      </c>
      <c r="M62" t="s">
        <v>25</v>
      </c>
      <c r="N62" t="s">
        <v>72</v>
      </c>
      <c r="O62" t="s">
        <v>250</v>
      </c>
      <c r="P62" t="s">
        <v>251</v>
      </c>
      <c r="Q62" t="s">
        <v>252</v>
      </c>
      <c r="R62">
        <v>2017</v>
      </c>
      <c r="S62">
        <v>59</v>
      </c>
      <c r="T62">
        <v>30</v>
      </c>
    </row>
    <row r="63" spans="1:20" x14ac:dyDescent="0.3">
      <c r="A63" t="s">
        <v>210</v>
      </c>
      <c r="B63" s="1">
        <v>42769</v>
      </c>
      <c r="C63" t="s">
        <v>253</v>
      </c>
      <c r="D63" t="s">
        <v>30</v>
      </c>
      <c r="E63" t="s">
        <v>254</v>
      </c>
      <c r="F63">
        <v>5</v>
      </c>
      <c r="G63">
        <v>4</v>
      </c>
      <c r="H63">
        <v>5</v>
      </c>
      <c r="I63">
        <v>5</v>
      </c>
      <c r="J63">
        <v>4</v>
      </c>
      <c r="K63">
        <v>5</v>
      </c>
      <c r="L63" t="s">
        <v>25</v>
      </c>
      <c r="M63" t="s">
        <v>25</v>
      </c>
      <c r="N63" t="s">
        <v>72</v>
      </c>
      <c r="O63" t="s">
        <v>255</v>
      </c>
      <c r="P63" t="s">
        <v>256</v>
      </c>
      <c r="Q63" t="e">
        <f>- Current building is slightly dated however we are moving to a brand new location early this year which has Great new facilities including a gym and social areas.</f>
        <v>#NAME?</v>
      </c>
      <c r="R63">
        <v>2017</v>
      </c>
      <c r="S63">
        <v>60</v>
      </c>
      <c r="T63">
        <v>29</v>
      </c>
    </row>
    <row r="64" spans="1:20" x14ac:dyDescent="0.3">
      <c r="A64" t="s">
        <v>210</v>
      </c>
      <c r="B64" s="1">
        <v>42770</v>
      </c>
      <c r="C64" t="s">
        <v>42</v>
      </c>
      <c r="D64" t="s">
        <v>30</v>
      </c>
      <c r="E64" t="s">
        <v>212</v>
      </c>
      <c r="F64">
        <v>5</v>
      </c>
      <c r="G64">
        <v>5</v>
      </c>
      <c r="H64">
        <v>5</v>
      </c>
      <c r="I64">
        <v>4</v>
      </c>
      <c r="J64">
        <v>4</v>
      </c>
      <c r="K64">
        <v>4</v>
      </c>
      <c r="L64" t="s">
        <v>37</v>
      </c>
      <c r="M64" t="s">
        <v>37</v>
      </c>
      <c r="N64" t="s">
        <v>37</v>
      </c>
      <c r="O64" t="s">
        <v>257</v>
      </c>
      <c r="P64" t="s">
        <v>258</v>
      </c>
      <c r="Q64" t="s">
        <v>259</v>
      </c>
      <c r="R64">
        <v>2017</v>
      </c>
      <c r="S64">
        <v>12</v>
      </c>
      <c r="T64">
        <v>21</v>
      </c>
    </row>
    <row r="65" spans="1:20" x14ac:dyDescent="0.3">
      <c r="A65" t="s">
        <v>210</v>
      </c>
      <c r="B65" s="1">
        <v>42772</v>
      </c>
      <c r="C65" t="s">
        <v>34</v>
      </c>
      <c r="D65" t="s">
        <v>76</v>
      </c>
      <c r="E65" t="s">
        <v>212</v>
      </c>
      <c r="F65">
        <v>5</v>
      </c>
      <c r="G65">
        <v>4</v>
      </c>
      <c r="H65">
        <v>5</v>
      </c>
      <c r="I65">
        <v>4</v>
      </c>
      <c r="J65">
        <v>4</v>
      </c>
      <c r="K65">
        <v>5</v>
      </c>
      <c r="L65" t="s">
        <v>37</v>
      </c>
      <c r="M65" t="s">
        <v>37</v>
      </c>
      <c r="N65" t="s">
        <v>37</v>
      </c>
      <c r="O65" t="s">
        <v>260</v>
      </c>
      <c r="P65" t="s">
        <v>261</v>
      </c>
      <c r="Q65" t="s">
        <v>262</v>
      </c>
      <c r="R65">
        <v>2017</v>
      </c>
      <c r="S65">
        <v>46</v>
      </c>
      <c r="T65">
        <v>24</v>
      </c>
    </row>
    <row r="66" spans="1:20" x14ac:dyDescent="0.3">
      <c r="A66" t="s">
        <v>210</v>
      </c>
      <c r="B66" s="1">
        <v>42828</v>
      </c>
      <c r="C66" t="s">
        <v>34</v>
      </c>
      <c r="D66" t="s">
        <v>35</v>
      </c>
      <c r="E66" t="s">
        <v>212</v>
      </c>
      <c r="F66">
        <v>5</v>
      </c>
      <c r="G66">
        <v>4</v>
      </c>
      <c r="H66">
        <v>5</v>
      </c>
      <c r="I66">
        <v>5</v>
      </c>
      <c r="J66">
        <v>3</v>
      </c>
      <c r="K66">
        <v>5</v>
      </c>
      <c r="L66" t="s">
        <v>37</v>
      </c>
      <c r="M66" t="s">
        <v>37</v>
      </c>
      <c r="N66" t="s">
        <v>37</v>
      </c>
      <c r="O66" t="s">
        <v>194</v>
      </c>
      <c r="P66" t="s">
        <v>263</v>
      </c>
      <c r="Q66" t="s">
        <v>264</v>
      </c>
      <c r="R66">
        <v>2017</v>
      </c>
      <c r="S66">
        <v>71</v>
      </c>
      <c r="T66">
        <v>49</v>
      </c>
    </row>
    <row r="67" spans="1:20" x14ac:dyDescent="0.3">
      <c r="A67" t="s">
        <v>210</v>
      </c>
      <c r="B67" s="1">
        <v>42849</v>
      </c>
      <c r="C67" t="s">
        <v>265</v>
      </c>
      <c r="D67" t="s">
        <v>124</v>
      </c>
      <c r="E67" t="s">
        <v>212</v>
      </c>
      <c r="F67">
        <v>5</v>
      </c>
      <c r="G67">
        <v>5</v>
      </c>
      <c r="H67">
        <v>5</v>
      </c>
      <c r="I67">
        <v>5</v>
      </c>
      <c r="J67">
        <v>3</v>
      </c>
      <c r="K67">
        <v>5</v>
      </c>
      <c r="L67" t="s">
        <v>37</v>
      </c>
      <c r="M67" t="s">
        <v>37</v>
      </c>
      <c r="N67" t="s">
        <v>37</v>
      </c>
      <c r="O67" t="s">
        <v>194</v>
      </c>
      <c r="P67" t="s">
        <v>266</v>
      </c>
      <c r="Q67" t="s">
        <v>267</v>
      </c>
      <c r="R67">
        <v>2017</v>
      </c>
      <c r="S67">
        <v>25</v>
      </c>
      <c r="T67">
        <v>14</v>
      </c>
    </row>
    <row r="68" spans="1:20" x14ac:dyDescent="0.3">
      <c r="A68" t="s">
        <v>210</v>
      </c>
      <c r="B68" s="1">
        <v>42860</v>
      </c>
      <c r="C68" t="s">
        <v>34</v>
      </c>
      <c r="D68" t="s">
        <v>268</v>
      </c>
      <c r="E68" t="s">
        <v>212</v>
      </c>
      <c r="F68">
        <v>4</v>
      </c>
      <c r="G68">
        <v>4</v>
      </c>
      <c r="H68">
        <v>4</v>
      </c>
      <c r="I68">
        <v>4</v>
      </c>
      <c r="J68">
        <v>4</v>
      </c>
      <c r="K68">
        <v>4</v>
      </c>
      <c r="L68" t="s">
        <v>37</v>
      </c>
      <c r="M68" t="s">
        <v>37</v>
      </c>
      <c r="N68" t="s">
        <v>37</v>
      </c>
      <c r="O68" t="s">
        <v>269</v>
      </c>
      <c r="P68" t="s">
        <v>270</v>
      </c>
      <c r="Q68" t="s">
        <v>271</v>
      </c>
      <c r="R68">
        <v>2017</v>
      </c>
      <c r="S68">
        <v>15</v>
      </c>
      <c r="T68">
        <v>8</v>
      </c>
    </row>
    <row r="69" spans="1:20" x14ac:dyDescent="0.3">
      <c r="A69" t="s">
        <v>210</v>
      </c>
      <c r="B69" s="1">
        <v>42921</v>
      </c>
      <c r="C69" t="s">
        <v>34</v>
      </c>
      <c r="D69" t="s">
        <v>47</v>
      </c>
      <c r="E69" t="s">
        <v>212</v>
      </c>
      <c r="F69">
        <v>4</v>
      </c>
      <c r="G69">
        <v>4</v>
      </c>
      <c r="H69">
        <v>5</v>
      </c>
      <c r="I69">
        <v>5</v>
      </c>
      <c r="J69">
        <v>3</v>
      </c>
      <c r="K69">
        <v>4</v>
      </c>
      <c r="L69" t="s">
        <v>37</v>
      </c>
      <c r="M69" t="s">
        <v>37</v>
      </c>
      <c r="N69" t="s">
        <v>37</v>
      </c>
      <c r="O69" t="s">
        <v>272</v>
      </c>
      <c r="P69" t="s">
        <v>273</v>
      </c>
      <c r="Q69" t="s">
        <v>274</v>
      </c>
      <c r="R69">
        <v>2017</v>
      </c>
      <c r="S69">
        <v>10</v>
      </c>
      <c r="T69">
        <v>13</v>
      </c>
    </row>
    <row r="70" spans="1:20" x14ac:dyDescent="0.3">
      <c r="A70" t="s">
        <v>210</v>
      </c>
      <c r="B70" s="1">
        <v>42986</v>
      </c>
      <c r="C70" t="s">
        <v>42</v>
      </c>
      <c r="D70" t="s">
        <v>76</v>
      </c>
      <c r="E70" t="s">
        <v>42</v>
      </c>
      <c r="F70">
        <v>5</v>
      </c>
      <c r="G70">
        <v>4</v>
      </c>
      <c r="H70">
        <v>5</v>
      </c>
      <c r="I70">
        <v>3</v>
      </c>
      <c r="J70">
        <v>3</v>
      </c>
      <c r="K70">
        <v>5</v>
      </c>
      <c r="L70" t="s">
        <v>25</v>
      </c>
      <c r="M70" t="s">
        <v>37</v>
      </c>
      <c r="N70" t="s">
        <v>72</v>
      </c>
      <c r="O70" t="s">
        <v>275</v>
      </c>
      <c r="P70" t="s">
        <v>276</v>
      </c>
      <c r="Q70" t="s">
        <v>277</v>
      </c>
      <c r="R70">
        <v>2017</v>
      </c>
      <c r="S70">
        <v>8</v>
      </c>
      <c r="T70">
        <v>6</v>
      </c>
    </row>
    <row r="71" spans="1:20" x14ac:dyDescent="0.3">
      <c r="A71" t="s">
        <v>210</v>
      </c>
      <c r="B71" s="1">
        <v>43004</v>
      </c>
      <c r="C71" t="s">
        <v>42</v>
      </c>
      <c r="D71" t="s">
        <v>76</v>
      </c>
      <c r="E71" t="s">
        <v>42</v>
      </c>
      <c r="F71">
        <v>5</v>
      </c>
      <c r="G71">
        <v>5</v>
      </c>
      <c r="H71">
        <v>5</v>
      </c>
      <c r="I71">
        <v>5</v>
      </c>
      <c r="J71">
        <v>3</v>
      </c>
      <c r="K71">
        <v>4</v>
      </c>
      <c r="L71" t="s">
        <v>37</v>
      </c>
      <c r="M71" t="s">
        <v>37</v>
      </c>
      <c r="N71" t="s">
        <v>37</v>
      </c>
      <c r="O71" t="s">
        <v>278</v>
      </c>
      <c r="P71" t="s">
        <v>279</v>
      </c>
      <c r="Q71" t="s">
        <v>280</v>
      </c>
      <c r="R71">
        <v>2017</v>
      </c>
      <c r="S71">
        <v>21</v>
      </c>
      <c r="T71">
        <v>11</v>
      </c>
    </row>
    <row r="72" spans="1:20" x14ac:dyDescent="0.3">
      <c r="A72" t="s">
        <v>210</v>
      </c>
      <c r="B72" s="1">
        <v>43004</v>
      </c>
      <c r="C72" t="s">
        <v>34</v>
      </c>
      <c r="D72" t="s">
        <v>76</v>
      </c>
      <c r="E72" t="s">
        <v>42</v>
      </c>
      <c r="F72">
        <v>5</v>
      </c>
      <c r="G72">
        <v>5</v>
      </c>
      <c r="H72">
        <v>5</v>
      </c>
      <c r="I72">
        <v>5</v>
      </c>
      <c r="J72">
        <v>5</v>
      </c>
      <c r="K72">
        <v>5</v>
      </c>
      <c r="L72" t="s">
        <v>37</v>
      </c>
      <c r="M72" t="s">
        <v>37</v>
      </c>
      <c r="N72" t="s">
        <v>72</v>
      </c>
      <c r="O72" t="s">
        <v>281</v>
      </c>
      <c r="P72" t="s">
        <v>282</v>
      </c>
      <c r="Q72" t="s">
        <v>283</v>
      </c>
      <c r="R72">
        <v>2017</v>
      </c>
      <c r="S72">
        <v>51</v>
      </c>
      <c r="T72">
        <v>20</v>
      </c>
    </row>
    <row r="73" spans="1:20" x14ac:dyDescent="0.3">
      <c r="A73" t="s">
        <v>210</v>
      </c>
      <c r="B73" s="1">
        <v>43025</v>
      </c>
      <c r="C73" t="s">
        <v>34</v>
      </c>
      <c r="D73" t="s">
        <v>30</v>
      </c>
      <c r="E73" t="s">
        <v>212</v>
      </c>
      <c r="F73">
        <v>5</v>
      </c>
      <c r="G73">
        <v>4</v>
      </c>
      <c r="H73">
        <v>5</v>
      </c>
      <c r="I73">
        <v>5</v>
      </c>
      <c r="J73">
        <v>3</v>
      </c>
      <c r="K73">
        <v>4</v>
      </c>
      <c r="L73" t="s">
        <v>37</v>
      </c>
      <c r="M73" t="s">
        <v>37</v>
      </c>
      <c r="N73" t="s">
        <v>37</v>
      </c>
      <c r="O73" t="s">
        <v>284</v>
      </c>
      <c r="P73" t="s">
        <v>285</v>
      </c>
      <c r="Q73" t="s">
        <v>286</v>
      </c>
      <c r="R73">
        <v>2017</v>
      </c>
      <c r="S73">
        <v>33</v>
      </c>
      <c r="T73">
        <v>17</v>
      </c>
    </row>
    <row r="74" spans="1:20" x14ac:dyDescent="0.3">
      <c r="A74" t="s">
        <v>210</v>
      </c>
      <c r="B74" s="1">
        <v>43102</v>
      </c>
      <c r="C74" t="s">
        <v>42</v>
      </c>
      <c r="D74" t="s">
        <v>91</v>
      </c>
      <c r="E74" t="s">
        <v>42</v>
      </c>
      <c r="F74">
        <v>5</v>
      </c>
      <c r="G74">
        <v>5</v>
      </c>
      <c r="H74">
        <v>5</v>
      </c>
      <c r="I74">
        <v>5</v>
      </c>
      <c r="J74">
        <v>3</v>
      </c>
      <c r="K74">
        <v>5</v>
      </c>
      <c r="L74" t="s">
        <v>37</v>
      </c>
      <c r="M74" t="s">
        <v>37</v>
      </c>
      <c r="N74" t="s">
        <v>37</v>
      </c>
      <c r="O74" t="s">
        <v>287</v>
      </c>
      <c r="P74" t="s">
        <v>288</v>
      </c>
      <c r="Q74" t="s">
        <v>289</v>
      </c>
      <c r="R74">
        <v>2018</v>
      </c>
      <c r="S74">
        <v>195</v>
      </c>
      <c r="T74">
        <v>55</v>
      </c>
    </row>
    <row r="75" spans="1:20" x14ac:dyDescent="0.3">
      <c r="A75" t="s">
        <v>210</v>
      </c>
      <c r="B75" s="1">
        <v>43160</v>
      </c>
      <c r="C75" t="s">
        <v>157</v>
      </c>
      <c r="D75" t="s">
        <v>22</v>
      </c>
      <c r="E75" t="s">
        <v>212</v>
      </c>
      <c r="F75">
        <v>1</v>
      </c>
      <c r="G75">
        <v>4</v>
      </c>
      <c r="H75">
        <v>4</v>
      </c>
      <c r="I75">
        <v>4</v>
      </c>
      <c r="J75">
        <v>4</v>
      </c>
      <c r="K75">
        <v>3</v>
      </c>
      <c r="L75" t="s">
        <v>24</v>
      </c>
      <c r="M75" t="s">
        <v>24</v>
      </c>
      <c r="N75" t="s">
        <v>26</v>
      </c>
      <c r="O75" t="s">
        <v>290</v>
      </c>
      <c r="P75" t="s">
        <v>291</v>
      </c>
      <c r="Q75" t="s">
        <v>292</v>
      </c>
      <c r="R75">
        <v>2018</v>
      </c>
      <c r="S75">
        <v>5</v>
      </c>
      <c r="T75">
        <v>29</v>
      </c>
    </row>
    <row r="76" spans="1:20" x14ac:dyDescent="0.3">
      <c r="A76" t="s">
        <v>210</v>
      </c>
      <c r="B76" s="1">
        <v>43353</v>
      </c>
      <c r="C76" t="s">
        <v>293</v>
      </c>
      <c r="D76" t="s">
        <v>41</v>
      </c>
      <c r="E76" t="s">
        <v>245</v>
      </c>
      <c r="F76">
        <v>5</v>
      </c>
      <c r="G76">
        <v>5</v>
      </c>
      <c r="H76">
        <v>5</v>
      </c>
      <c r="I76">
        <v>5</v>
      </c>
      <c r="J76">
        <v>5</v>
      </c>
      <c r="K76">
        <v>5</v>
      </c>
      <c r="L76" t="s">
        <v>37</v>
      </c>
      <c r="M76" t="s">
        <v>24</v>
      </c>
      <c r="N76" t="s">
        <v>37</v>
      </c>
      <c r="O76" t="s">
        <v>293</v>
      </c>
      <c r="P76" t="s">
        <v>294</v>
      </c>
      <c r="Q76" t="s">
        <v>295</v>
      </c>
      <c r="R76">
        <v>2018</v>
      </c>
      <c r="S76">
        <v>16</v>
      </c>
      <c r="T76">
        <v>13</v>
      </c>
    </row>
    <row r="77" spans="1:20" x14ac:dyDescent="0.3">
      <c r="A77" t="s">
        <v>210</v>
      </c>
      <c r="B77" s="1">
        <v>43398</v>
      </c>
      <c r="C77" t="s">
        <v>34</v>
      </c>
      <c r="D77" t="s">
        <v>35</v>
      </c>
      <c r="E77" t="s">
        <v>296</v>
      </c>
      <c r="F77">
        <v>4</v>
      </c>
      <c r="G77">
        <v>4</v>
      </c>
      <c r="H77">
        <v>4</v>
      </c>
      <c r="I77">
        <v>5</v>
      </c>
      <c r="J77">
        <v>3</v>
      </c>
      <c r="K77">
        <v>4</v>
      </c>
      <c r="L77" t="s">
        <v>37</v>
      </c>
      <c r="M77" t="s">
        <v>37</v>
      </c>
      <c r="N77" t="s">
        <v>37</v>
      </c>
      <c r="O77" t="s">
        <v>297</v>
      </c>
      <c r="P77" t="s">
        <v>298</v>
      </c>
      <c r="Q77" t="s">
        <v>299</v>
      </c>
      <c r="R77">
        <v>2018</v>
      </c>
      <c r="S77">
        <v>23</v>
      </c>
      <c r="T77">
        <v>55</v>
      </c>
    </row>
    <row r="78" spans="1:20" x14ac:dyDescent="0.3">
      <c r="A78" t="s">
        <v>210</v>
      </c>
      <c r="B78" s="1">
        <v>43573</v>
      </c>
      <c r="C78" t="s">
        <v>34</v>
      </c>
      <c r="D78" t="s">
        <v>22</v>
      </c>
      <c r="E78" t="s">
        <v>212</v>
      </c>
      <c r="F78">
        <v>4</v>
      </c>
      <c r="G78">
        <v>4</v>
      </c>
      <c r="H78">
        <v>5</v>
      </c>
      <c r="I78">
        <v>4</v>
      </c>
      <c r="J78">
        <v>3</v>
      </c>
      <c r="K78">
        <v>4</v>
      </c>
      <c r="L78" t="s">
        <v>37</v>
      </c>
      <c r="M78" t="s">
        <v>37</v>
      </c>
      <c r="N78" t="s">
        <v>37</v>
      </c>
      <c r="O78" t="s">
        <v>300</v>
      </c>
      <c r="P78" t="s">
        <v>301</v>
      </c>
      <c r="Q78" t="s">
        <v>302</v>
      </c>
      <c r="R78">
        <v>2019</v>
      </c>
      <c r="S78">
        <v>75</v>
      </c>
      <c r="T78">
        <v>16</v>
      </c>
    </row>
    <row r="79" spans="1:20" x14ac:dyDescent="0.3">
      <c r="A79" t="s">
        <v>210</v>
      </c>
      <c r="B79" s="1">
        <v>43604</v>
      </c>
      <c r="C79" t="s">
        <v>34</v>
      </c>
      <c r="D79" t="s">
        <v>22</v>
      </c>
      <c r="E79" t="s">
        <v>42</v>
      </c>
      <c r="F79">
        <v>4</v>
      </c>
      <c r="G79">
        <v>3</v>
      </c>
      <c r="H79">
        <v>5</v>
      </c>
      <c r="I79">
        <v>4</v>
      </c>
      <c r="J79">
        <v>3</v>
      </c>
      <c r="K79">
        <v>5</v>
      </c>
      <c r="L79" t="s">
        <v>37</v>
      </c>
      <c r="M79" t="s">
        <v>37</v>
      </c>
      <c r="N79" t="s">
        <v>37</v>
      </c>
      <c r="O79" t="s">
        <v>303</v>
      </c>
      <c r="P79" t="s">
        <v>304</v>
      </c>
      <c r="Q79" t="s">
        <v>305</v>
      </c>
      <c r="R79">
        <v>2019</v>
      </c>
      <c r="S79">
        <v>10</v>
      </c>
      <c r="T79">
        <v>15</v>
      </c>
    </row>
    <row r="80" spans="1:20" x14ac:dyDescent="0.3">
      <c r="A80" t="s">
        <v>210</v>
      </c>
      <c r="B80" s="1">
        <v>43700</v>
      </c>
      <c r="C80" t="s">
        <v>293</v>
      </c>
      <c r="D80" t="s">
        <v>41</v>
      </c>
      <c r="E80" t="s">
        <v>42</v>
      </c>
      <c r="F80">
        <v>5</v>
      </c>
      <c r="G80">
        <v>4</v>
      </c>
      <c r="H80">
        <v>5</v>
      </c>
      <c r="I80">
        <v>4</v>
      </c>
      <c r="J80">
        <v>3</v>
      </c>
      <c r="K80">
        <v>3</v>
      </c>
      <c r="L80" t="s">
        <v>25</v>
      </c>
      <c r="M80" t="s">
        <v>25</v>
      </c>
      <c r="N80" t="s">
        <v>72</v>
      </c>
      <c r="O80" t="s">
        <v>306</v>
      </c>
      <c r="P80" t="s">
        <v>307</v>
      </c>
      <c r="Q80" t="s">
        <v>308</v>
      </c>
      <c r="R80">
        <v>2019</v>
      </c>
      <c r="S80">
        <v>7</v>
      </c>
      <c r="T80">
        <v>11</v>
      </c>
    </row>
    <row r="81" spans="1:20" x14ac:dyDescent="0.3">
      <c r="A81" t="s">
        <v>210</v>
      </c>
      <c r="B81" s="1">
        <v>43729</v>
      </c>
      <c r="C81" t="s">
        <v>309</v>
      </c>
      <c r="D81" t="s">
        <v>22</v>
      </c>
      <c r="E81" t="s">
        <v>42</v>
      </c>
      <c r="F81">
        <v>4</v>
      </c>
      <c r="G81">
        <v>5</v>
      </c>
      <c r="H81">
        <v>5</v>
      </c>
      <c r="I81">
        <v>3</v>
      </c>
      <c r="J81">
        <v>5</v>
      </c>
      <c r="K81">
        <v>4</v>
      </c>
      <c r="L81" t="s">
        <v>37</v>
      </c>
      <c r="M81" t="s">
        <v>37</v>
      </c>
      <c r="N81" t="s">
        <v>37</v>
      </c>
      <c r="O81" t="s">
        <v>310</v>
      </c>
      <c r="P81" t="s">
        <v>311</v>
      </c>
      <c r="Q81" t="s">
        <v>312</v>
      </c>
      <c r="R81">
        <v>2019</v>
      </c>
      <c r="S81">
        <v>11</v>
      </c>
      <c r="T81">
        <v>27</v>
      </c>
    </row>
    <row r="82" spans="1:20" x14ac:dyDescent="0.3">
      <c r="A82" t="s">
        <v>210</v>
      </c>
      <c r="B82" s="1">
        <v>43783</v>
      </c>
      <c r="C82" t="s">
        <v>313</v>
      </c>
      <c r="D82" t="s">
        <v>22</v>
      </c>
      <c r="E82" t="s">
        <v>42</v>
      </c>
      <c r="F82">
        <v>5</v>
      </c>
      <c r="G82">
        <v>4</v>
      </c>
      <c r="H82">
        <v>4</v>
      </c>
      <c r="I82">
        <v>2</v>
      </c>
      <c r="J82">
        <v>3</v>
      </c>
      <c r="K82">
        <v>4</v>
      </c>
      <c r="L82" t="s">
        <v>37</v>
      </c>
      <c r="M82" t="s">
        <v>37</v>
      </c>
      <c r="N82" t="s">
        <v>37</v>
      </c>
      <c r="O82" t="s">
        <v>314</v>
      </c>
      <c r="P82" t="s">
        <v>315</v>
      </c>
      <c r="Q82" t="s">
        <v>316</v>
      </c>
      <c r="R82">
        <v>2019</v>
      </c>
      <c r="S82">
        <v>11</v>
      </c>
      <c r="T82">
        <v>9</v>
      </c>
    </row>
    <row r="83" spans="1:20" x14ac:dyDescent="0.3">
      <c r="A83" t="s">
        <v>210</v>
      </c>
      <c r="B83" s="1">
        <v>43796</v>
      </c>
      <c r="C83" t="s">
        <v>309</v>
      </c>
      <c r="D83" t="s">
        <v>76</v>
      </c>
      <c r="E83" t="s">
        <v>42</v>
      </c>
      <c r="F83">
        <v>5</v>
      </c>
      <c r="G83">
        <v>4</v>
      </c>
      <c r="H83">
        <v>4</v>
      </c>
      <c r="I83">
        <v>4</v>
      </c>
      <c r="J83">
        <v>4</v>
      </c>
      <c r="K83">
        <v>3</v>
      </c>
      <c r="L83" t="s">
        <v>25</v>
      </c>
      <c r="M83" t="s">
        <v>25</v>
      </c>
      <c r="N83" t="s">
        <v>72</v>
      </c>
      <c r="O83" t="s">
        <v>317</v>
      </c>
      <c r="P83" t="s">
        <v>318</v>
      </c>
      <c r="Q83" t="s">
        <v>319</v>
      </c>
      <c r="R83">
        <v>2019</v>
      </c>
      <c r="S83">
        <v>5</v>
      </c>
      <c r="T83">
        <v>8</v>
      </c>
    </row>
    <row r="84" spans="1:20" x14ac:dyDescent="0.3">
      <c r="A84" t="s">
        <v>210</v>
      </c>
      <c r="B84" s="1">
        <v>43820</v>
      </c>
      <c r="C84" t="s">
        <v>70</v>
      </c>
      <c r="D84" t="s">
        <v>98</v>
      </c>
      <c r="E84" t="s">
        <v>320</v>
      </c>
      <c r="F84">
        <v>4</v>
      </c>
      <c r="G84">
        <v>3</v>
      </c>
      <c r="H84">
        <v>4</v>
      </c>
      <c r="I84">
        <v>4</v>
      </c>
      <c r="J84">
        <v>3</v>
      </c>
      <c r="K84">
        <v>4</v>
      </c>
      <c r="L84" t="s">
        <v>37</v>
      </c>
      <c r="M84" t="s">
        <v>37</v>
      </c>
      <c r="N84" t="s">
        <v>37</v>
      </c>
      <c r="O84" t="s">
        <v>321</v>
      </c>
      <c r="P84" t="s">
        <v>322</v>
      </c>
      <c r="Q84" t="s">
        <v>323</v>
      </c>
      <c r="R84">
        <v>2019</v>
      </c>
      <c r="S84">
        <v>6</v>
      </c>
      <c r="T84">
        <v>7</v>
      </c>
    </row>
    <row r="85" spans="1:20" x14ac:dyDescent="0.3">
      <c r="A85" t="s">
        <v>210</v>
      </c>
      <c r="B85" s="1">
        <v>43843</v>
      </c>
      <c r="C85" t="s">
        <v>324</v>
      </c>
      <c r="D85" t="s">
        <v>91</v>
      </c>
      <c r="E85" t="s">
        <v>42</v>
      </c>
      <c r="F85">
        <v>4</v>
      </c>
      <c r="G85">
        <v>5</v>
      </c>
      <c r="H85">
        <v>5</v>
      </c>
      <c r="I85">
        <v>3</v>
      </c>
      <c r="J85">
        <v>4</v>
      </c>
      <c r="K85">
        <v>4</v>
      </c>
      <c r="L85" t="s">
        <v>25</v>
      </c>
      <c r="M85" t="s">
        <v>25</v>
      </c>
      <c r="N85" t="s">
        <v>72</v>
      </c>
      <c r="O85" t="s">
        <v>325</v>
      </c>
      <c r="P85" t="s">
        <v>326</v>
      </c>
      <c r="Q85" t="s">
        <v>327</v>
      </c>
      <c r="R85">
        <v>2020</v>
      </c>
      <c r="S85">
        <v>7</v>
      </c>
      <c r="T85">
        <v>5</v>
      </c>
    </row>
    <row r="86" spans="1:20" x14ac:dyDescent="0.3">
      <c r="A86" t="s">
        <v>210</v>
      </c>
      <c r="B86" s="1">
        <v>43970</v>
      </c>
      <c r="C86" t="s">
        <v>211</v>
      </c>
      <c r="D86" t="s">
        <v>76</v>
      </c>
      <c r="E86" t="s">
        <v>212</v>
      </c>
      <c r="F86">
        <v>4</v>
      </c>
      <c r="G86">
        <v>5</v>
      </c>
      <c r="H86">
        <v>4</v>
      </c>
      <c r="I86">
        <v>4</v>
      </c>
      <c r="J86">
        <v>4</v>
      </c>
      <c r="K86">
        <v>3</v>
      </c>
      <c r="L86" t="s">
        <v>37</v>
      </c>
      <c r="M86" t="s">
        <v>37</v>
      </c>
      <c r="N86" t="s">
        <v>37</v>
      </c>
      <c r="O86" t="s">
        <v>328</v>
      </c>
      <c r="P86" t="s">
        <v>329</v>
      </c>
      <c r="Q86" t="s">
        <v>330</v>
      </c>
      <c r="R86">
        <v>2020</v>
      </c>
      <c r="S86">
        <v>92</v>
      </c>
      <c r="T86">
        <v>91</v>
      </c>
    </row>
    <row r="87" spans="1:20" x14ac:dyDescent="0.3">
      <c r="A87" t="s">
        <v>210</v>
      </c>
      <c r="B87" s="1">
        <v>43979</v>
      </c>
      <c r="C87" t="s">
        <v>34</v>
      </c>
      <c r="D87" t="s">
        <v>76</v>
      </c>
      <c r="E87" t="s">
        <v>212</v>
      </c>
      <c r="F87">
        <v>3</v>
      </c>
      <c r="G87">
        <v>5</v>
      </c>
      <c r="H87">
        <v>5</v>
      </c>
      <c r="I87">
        <v>4</v>
      </c>
      <c r="J87">
        <v>2</v>
      </c>
      <c r="K87">
        <v>4</v>
      </c>
      <c r="L87" t="s">
        <v>37</v>
      </c>
      <c r="M87" t="s">
        <v>25</v>
      </c>
      <c r="N87" t="s">
        <v>37</v>
      </c>
      <c r="O87" t="s">
        <v>331</v>
      </c>
      <c r="P87" t="s">
        <v>332</v>
      </c>
      <c r="Q87" t="s">
        <v>333</v>
      </c>
      <c r="R87">
        <v>2020</v>
      </c>
      <c r="S87">
        <v>8</v>
      </c>
      <c r="T87">
        <v>21</v>
      </c>
    </row>
    <row r="88" spans="1:20" x14ac:dyDescent="0.3">
      <c r="A88" t="s">
        <v>210</v>
      </c>
      <c r="B88" s="1">
        <v>43987</v>
      </c>
      <c r="C88" t="s">
        <v>334</v>
      </c>
      <c r="D88" t="s">
        <v>91</v>
      </c>
      <c r="E88" t="s">
        <v>42</v>
      </c>
      <c r="F88">
        <v>1</v>
      </c>
      <c r="G88">
        <v>1</v>
      </c>
      <c r="H88">
        <v>1</v>
      </c>
      <c r="I88">
        <v>1</v>
      </c>
      <c r="J88">
        <v>1</v>
      </c>
      <c r="K88">
        <v>1</v>
      </c>
      <c r="L88" t="s">
        <v>24</v>
      </c>
      <c r="M88" t="s">
        <v>25</v>
      </c>
      <c r="N88" t="s">
        <v>26</v>
      </c>
      <c r="O88" t="s">
        <v>335</v>
      </c>
      <c r="P88" t="s">
        <v>336</v>
      </c>
      <c r="Q88" t="s">
        <v>337</v>
      </c>
      <c r="R88">
        <v>2020</v>
      </c>
      <c r="S88">
        <v>32</v>
      </c>
      <c r="T88">
        <v>46</v>
      </c>
    </row>
    <row r="89" spans="1:20" x14ac:dyDescent="0.3">
      <c r="A89" t="s">
        <v>210</v>
      </c>
      <c r="B89" s="1">
        <v>43991</v>
      </c>
      <c r="C89" t="s">
        <v>157</v>
      </c>
      <c r="D89" t="s">
        <v>47</v>
      </c>
      <c r="E89" t="s">
        <v>42</v>
      </c>
      <c r="F89">
        <v>2</v>
      </c>
      <c r="G89">
        <v>1</v>
      </c>
      <c r="H89">
        <v>1</v>
      </c>
      <c r="I89">
        <v>1</v>
      </c>
      <c r="J89">
        <v>2</v>
      </c>
      <c r="K89">
        <v>1</v>
      </c>
      <c r="L89" t="s">
        <v>24</v>
      </c>
      <c r="M89" t="s">
        <v>24</v>
      </c>
      <c r="N89" t="s">
        <v>26</v>
      </c>
      <c r="O89" t="s">
        <v>338</v>
      </c>
      <c r="P89" t="s">
        <v>339</v>
      </c>
      <c r="Q89" t="s">
        <v>340</v>
      </c>
      <c r="R89">
        <v>2020</v>
      </c>
      <c r="S89">
        <v>19</v>
      </c>
      <c r="T89">
        <v>98</v>
      </c>
    </row>
    <row r="90" spans="1:20" x14ac:dyDescent="0.3">
      <c r="A90" t="s">
        <v>210</v>
      </c>
      <c r="B90" s="1">
        <v>43991</v>
      </c>
      <c r="C90" t="s">
        <v>341</v>
      </c>
      <c r="D90" t="s">
        <v>35</v>
      </c>
      <c r="E90" t="s">
        <v>212</v>
      </c>
      <c r="F90">
        <v>5</v>
      </c>
      <c r="G90">
        <v>5</v>
      </c>
      <c r="H90">
        <v>5</v>
      </c>
      <c r="I90">
        <v>5</v>
      </c>
      <c r="J90">
        <v>5</v>
      </c>
      <c r="K90">
        <v>5</v>
      </c>
      <c r="L90" t="s">
        <v>37</v>
      </c>
      <c r="M90" t="s">
        <v>37</v>
      </c>
      <c r="N90" t="s">
        <v>37</v>
      </c>
      <c r="O90" t="s">
        <v>317</v>
      </c>
      <c r="P90" t="s">
        <v>342</v>
      </c>
      <c r="Q90" t="s">
        <v>343</v>
      </c>
      <c r="R90">
        <v>2020</v>
      </c>
      <c r="S90">
        <v>28</v>
      </c>
      <c r="T90">
        <v>21</v>
      </c>
    </row>
    <row r="91" spans="1:20" x14ac:dyDescent="0.3">
      <c r="A91" t="s">
        <v>210</v>
      </c>
      <c r="B91" s="1">
        <v>43991</v>
      </c>
      <c r="C91" t="s">
        <v>344</v>
      </c>
      <c r="D91" t="s">
        <v>76</v>
      </c>
      <c r="E91" t="s">
        <v>212</v>
      </c>
      <c r="F91">
        <v>5</v>
      </c>
      <c r="G91">
        <v>5</v>
      </c>
      <c r="H91">
        <v>5</v>
      </c>
      <c r="I91">
        <v>5</v>
      </c>
      <c r="J91">
        <v>5</v>
      </c>
      <c r="K91">
        <v>5</v>
      </c>
      <c r="L91" t="s">
        <v>24</v>
      </c>
      <c r="M91" t="s">
        <v>37</v>
      </c>
      <c r="N91" t="s">
        <v>37</v>
      </c>
      <c r="O91" t="s">
        <v>345</v>
      </c>
      <c r="P91" t="s">
        <v>346</v>
      </c>
      <c r="Q91" t="s">
        <v>347</v>
      </c>
      <c r="R91">
        <v>2020</v>
      </c>
      <c r="S91">
        <v>129</v>
      </c>
      <c r="T91">
        <v>6</v>
      </c>
    </row>
    <row r="92" spans="1:20" x14ac:dyDescent="0.3">
      <c r="A92" t="s">
        <v>210</v>
      </c>
      <c r="B92" s="1">
        <v>43991</v>
      </c>
      <c r="C92" t="s">
        <v>348</v>
      </c>
      <c r="D92" t="s">
        <v>30</v>
      </c>
      <c r="E92" t="s">
        <v>212</v>
      </c>
      <c r="F92">
        <v>5</v>
      </c>
      <c r="G92">
        <v>5</v>
      </c>
      <c r="H92">
        <v>5</v>
      </c>
      <c r="I92">
        <v>5</v>
      </c>
      <c r="J92">
        <v>5</v>
      </c>
      <c r="K92">
        <v>5</v>
      </c>
      <c r="L92" t="s">
        <v>37</v>
      </c>
      <c r="M92" t="s">
        <v>37</v>
      </c>
      <c r="N92" t="s">
        <v>37</v>
      </c>
      <c r="O92" t="s">
        <v>349</v>
      </c>
      <c r="P92" t="s">
        <v>350</v>
      </c>
      <c r="Q92" t="s">
        <v>351</v>
      </c>
      <c r="R92">
        <v>2020</v>
      </c>
      <c r="S92">
        <v>110</v>
      </c>
      <c r="T92">
        <v>42</v>
      </c>
    </row>
    <row r="93" spans="1:20" x14ac:dyDescent="0.3">
      <c r="A93" t="s">
        <v>210</v>
      </c>
      <c r="B93" s="1">
        <v>43991</v>
      </c>
      <c r="C93" t="s">
        <v>352</v>
      </c>
      <c r="D93" t="s">
        <v>22</v>
      </c>
      <c r="E93" t="s">
        <v>212</v>
      </c>
      <c r="F93">
        <v>5</v>
      </c>
      <c r="G93">
        <v>5</v>
      </c>
      <c r="H93">
        <v>5</v>
      </c>
      <c r="I93">
        <v>5</v>
      </c>
      <c r="J93">
        <v>5</v>
      </c>
      <c r="K93">
        <v>5</v>
      </c>
      <c r="L93" t="s">
        <v>37</v>
      </c>
      <c r="M93" t="s">
        <v>37</v>
      </c>
      <c r="N93" t="s">
        <v>37</v>
      </c>
      <c r="O93" t="s">
        <v>353</v>
      </c>
      <c r="P93" t="s">
        <v>354</v>
      </c>
      <c r="Q93" t="s">
        <v>355</v>
      </c>
      <c r="R93">
        <v>2020</v>
      </c>
      <c r="S93">
        <v>10</v>
      </c>
      <c r="T93">
        <v>7</v>
      </c>
    </row>
    <row r="94" spans="1:20" x14ac:dyDescent="0.3">
      <c r="A94" t="s">
        <v>210</v>
      </c>
      <c r="B94" s="1">
        <v>43991</v>
      </c>
      <c r="C94" t="s">
        <v>97</v>
      </c>
      <c r="D94" t="s">
        <v>98</v>
      </c>
      <c r="E94" t="s">
        <v>212</v>
      </c>
      <c r="F94">
        <v>5</v>
      </c>
      <c r="G94">
        <v>5</v>
      </c>
      <c r="H94">
        <v>5</v>
      </c>
      <c r="I94">
        <v>5</v>
      </c>
      <c r="J94">
        <v>5</v>
      </c>
      <c r="K94">
        <v>5</v>
      </c>
      <c r="L94" t="s">
        <v>37</v>
      </c>
      <c r="M94" t="s">
        <v>37</v>
      </c>
      <c r="N94" t="s">
        <v>37</v>
      </c>
      <c r="O94" t="s">
        <v>356</v>
      </c>
      <c r="P94" t="s">
        <v>357</v>
      </c>
      <c r="Q94" t="s">
        <v>358</v>
      </c>
      <c r="R94">
        <v>2020</v>
      </c>
      <c r="S94">
        <v>35</v>
      </c>
      <c r="T94">
        <v>14</v>
      </c>
    </row>
    <row r="95" spans="1:20" x14ac:dyDescent="0.3">
      <c r="A95" t="s">
        <v>210</v>
      </c>
      <c r="B95" s="1">
        <v>43991</v>
      </c>
      <c r="C95" t="s">
        <v>359</v>
      </c>
      <c r="D95" t="s">
        <v>76</v>
      </c>
      <c r="E95" t="s">
        <v>212</v>
      </c>
      <c r="F95">
        <v>5</v>
      </c>
      <c r="G95">
        <v>4</v>
      </c>
      <c r="H95">
        <v>4</v>
      </c>
      <c r="I95">
        <v>4</v>
      </c>
      <c r="J95">
        <v>4</v>
      </c>
      <c r="K95">
        <v>3</v>
      </c>
      <c r="L95" t="s">
        <v>37</v>
      </c>
      <c r="M95" t="s">
        <v>37</v>
      </c>
      <c r="N95" t="s">
        <v>37</v>
      </c>
      <c r="O95" t="s">
        <v>360</v>
      </c>
      <c r="P95" t="s">
        <v>361</v>
      </c>
      <c r="Q95" t="s">
        <v>362</v>
      </c>
      <c r="R95">
        <v>2020</v>
      </c>
      <c r="S95">
        <v>12</v>
      </c>
      <c r="T95">
        <v>10</v>
      </c>
    </row>
    <row r="96" spans="1:20" x14ac:dyDescent="0.3">
      <c r="A96" t="s">
        <v>210</v>
      </c>
      <c r="B96" s="1">
        <v>43991</v>
      </c>
      <c r="C96" t="s">
        <v>363</v>
      </c>
      <c r="D96" t="s">
        <v>30</v>
      </c>
      <c r="E96" t="s">
        <v>212</v>
      </c>
      <c r="F96">
        <v>5</v>
      </c>
      <c r="G96">
        <v>5</v>
      </c>
      <c r="H96">
        <v>5</v>
      </c>
      <c r="I96">
        <v>4</v>
      </c>
      <c r="J96">
        <v>5</v>
      </c>
      <c r="K96">
        <v>5</v>
      </c>
      <c r="L96" t="s">
        <v>37</v>
      </c>
      <c r="M96" t="s">
        <v>37</v>
      </c>
      <c r="N96" t="s">
        <v>37</v>
      </c>
      <c r="O96" t="s">
        <v>364</v>
      </c>
      <c r="P96" t="s">
        <v>365</v>
      </c>
      <c r="Q96" t="s">
        <v>366</v>
      </c>
      <c r="R96">
        <v>2020</v>
      </c>
      <c r="S96">
        <v>34</v>
      </c>
      <c r="T96">
        <v>13</v>
      </c>
    </row>
    <row r="97" spans="1:20" x14ac:dyDescent="0.3">
      <c r="A97" t="s">
        <v>210</v>
      </c>
      <c r="B97" s="1">
        <v>43991</v>
      </c>
      <c r="C97" t="s">
        <v>211</v>
      </c>
      <c r="D97" t="s">
        <v>30</v>
      </c>
      <c r="E97" t="s">
        <v>212</v>
      </c>
      <c r="F97">
        <v>5</v>
      </c>
      <c r="G97">
        <v>5</v>
      </c>
      <c r="H97">
        <v>5</v>
      </c>
      <c r="I97">
        <v>5</v>
      </c>
      <c r="J97">
        <v>5</v>
      </c>
      <c r="K97">
        <v>5</v>
      </c>
      <c r="L97" t="s">
        <v>37</v>
      </c>
      <c r="M97" t="s">
        <v>25</v>
      </c>
      <c r="N97" t="s">
        <v>37</v>
      </c>
      <c r="O97" t="s">
        <v>367</v>
      </c>
      <c r="P97" t="e">
        <f>- company culture is fantastic  - ability to progress - fund external qualifications - nurture and develop you - brilliant People to work with</f>
        <v>#NAME?</v>
      </c>
      <c r="Q97" t="e">
        <f>- Low pension contribution - slightly lower pay than other companies</f>
        <v>#NAME?</v>
      </c>
      <c r="R97">
        <v>2020</v>
      </c>
      <c r="S97">
        <v>24</v>
      </c>
      <c r="T97">
        <v>11</v>
      </c>
    </row>
    <row r="98" spans="1:20" x14ac:dyDescent="0.3">
      <c r="A98" t="s">
        <v>210</v>
      </c>
      <c r="B98" s="1">
        <v>43992</v>
      </c>
      <c r="C98" t="s">
        <v>368</v>
      </c>
      <c r="D98" t="s">
        <v>76</v>
      </c>
      <c r="E98" t="s">
        <v>212</v>
      </c>
      <c r="F98">
        <v>5</v>
      </c>
      <c r="G98">
        <v>5</v>
      </c>
      <c r="H98">
        <v>5</v>
      </c>
      <c r="I98">
        <v>5</v>
      </c>
      <c r="J98">
        <v>3</v>
      </c>
      <c r="K98">
        <v>5</v>
      </c>
      <c r="L98" t="s">
        <v>37</v>
      </c>
      <c r="M98" t="s">
        <v>37</v>
      </c>
      <c r="N98" t="s">
        <v>37</v>
      </c>
      <c r="O98" t="s">
        <v>369</v>
      </c>
      <c r="P98" t="s">
        <v>370</v>
      </c>
      <c r="Q98" t="s">
        <v>371</v>
      </c>
      <c r="R98">
        <v>2020</v>
      </c>
      <c r="S98">
        <v>91</v>
      </c>
      <c r="T98">
        <v>48</v>
      </c>
    </row>
    <row r="99" spans="1:20" x14ac:dyDescent="0.3">
      <c r="A99" t="s">
        <v>210</v>
      </c>
      <c r="B99" s="1">
        <v>43992</v>
      </c>
      <c r="C99" t="s">
        <v>211</v>
      </c>
      <c r="D99" t="s">
        <v>30</v>
      </c>
      <c r="E99" t="s">
        <v>42</v>
      </c>
      <c r="F99">
        <v>5</v>
      </c>
      <c r="G99">
        <v>5</v>
      </c>
      <c r="H99">
        <v>5</v>
      </c>
      <c r="I99">
        <v>5</v>
      </c>
      <c r="J99">
        <v>5</v>
      </c>
      <c r="K99">
        <v>5</v>
      </c>
      <c r="L99" t="s">
        <v>37</v>
      </c>
      <c r="M99" t="s">
        <v>25</v>
      </c>
      <c r="N99" t="s">
        <v>37</v>
      </c>
      <c r="O99" t="s">
        <v>194</v>
      </c>
      <c r="P99" t="s">
        <v>372</v>
      </c>
      <c r="Q99" t="s">
        <v>373</v>
      </c>
      <c r="R99">
        <v>2020</v>
      </c>
      <c r="S99">
        <v>28</v>
      </c>
      <c r="T99">
        <v>17</v>
      </c>
    </row>
    <row r="100" spans="1:20" x14ac:dyDescent="0.3">
      <c r="A100" t="s">
        <v>210</v>
      </c>
      <c r="B100" s="1">
        <v>43993</v>
      </c>
      <c r="C100" t="s">
        <v>341</v>
      </c>
      <c r="D100" t="s">
        <v>76</v>
      </c>
      <c r="E100" t="s">
        <v>212</v>
      </c>
      <c r="F100">
        <v>5</v>
      </c>
      <c r="G100">
        <v>5</v>
      </c>
      <c r="H100">
        <v>5</v>
      </c>
      <c r="I100">
        <v>5</v>
      </c>
      <c r="J100">
        <v>5</v>
      </c>
      <c r="K100">
        <v>5</v>
      </c>
      <c r="L100" t="s">
        <v>37</v>
      </c>
      <c r="M100" t="s">
        <v>37</v>
      </c>
      <c r="N100" t="s">
        <v>37</v>
      </c>
      <c r="O100" t="s">
        <v>374</v>
      </c>
      <c r="P100" t="s">
        <v>375</v>
      </c>
      <c r="Q100" t="s">
        <v>376</v>
      </c>
      <c r="R100">
        <v>2020</v>
      </c>
      <c r="S100">
        <v>9</v>
      </c>
      <c r="T100">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Kumaralingam</dc:creator>
  <cp:lastModifiedBy>Dinesh Kumaralingam</cp:lastModifiedBy>
  <dcterms:created xsi:type="dcterms:W3CDTF">2026-01-19T02:04:10Z</dcterms:created>
  <dcterms:modified xsi:type="dcterms:W3CDTF">2026-01-19T02:07:09Z</dcterms:modified>
</cp:coreProperties>
</file>